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3D7C1797-B73D-41CF-8861-6C1A7B45CAAC}" xr6:coauthVersionLast="47" xr6:coauthVersionMax="47" xr10:uidLastSave="{00000000-0000-0000-0000-000000000000}"/>
  <bookViews>
    <workbookView xWindow="-120" yWindow="-120" windowWidth="29040" windowHeight="15720" firstSheet="2" activeTab="13" xr2:uid="{680900B7-A964-478A-9A80-D6D605E91FFD}"/>
  </bookViews>
  <sheets>
    <sheet name="Январь" sheetId="1" r:id="rId1"/>
    <sheet name="Февраль" sheetId="4" r:id="rId2"/>
    <sheet name="Март" sheetId="5" r:id="rId3"/>
    <sheet name="Апрель" sheetId="6" r:id="rId4"/>
    <sheet name="Май" sheetId="7" r:id="rId5"/>
    <sheet name="Июнь" sheetId="8" r:id="rId6"/>
    <sheet name="Июль" sheetId="9" r:id="rId7"/>
    <sheet name="Август" sheetId="10" r:id="rId8"/>
    <sheet name="Сентябрь" sheetId="11" r:id="rId9"/>
    <sheet name="Октябрь" sheetId="12" r:id="rId10"/>
    <sheet name="Ноябрь" sheetId="13" r:id="rId11"/>
    <sheet name="Декабрь" sheetId="14" r:id="rId12"/>
    <sheet name="Итоги за год" sheetId="15" r:id="rId13"/>
    <sheet name="Налоги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D3" i="14"/>
  <c r="B2" i="14" a="1"/>
  <c r="C2" i="14" s="1"/>
  <c r="E2" i="14" s="1"/>
  <c r="D2" i="13"/>
  <c r="B2" i="13" a="1"/>
  <c r="C2" i="13" s="1"/>
  <c r="E2" i="13" s="1"/>
  <c r="D2" i="12"/>
  <c r="B2" i="12" a="1"/>
  <c r="C2" i="12" s="1"/>
  <c r="E2" i="12" s="1"/>
  <c r="D2" i="11"/>
  <c r="B2" i="11" a="1"/>
  <c r="C2" i="11" s="1"/>
  <c r="E2" i="11" s="1"/>
  <c r="D2" i="10"/>
  <c r="B2" i="10" a="1"/>
  <c r="C2" i="10" s="1"/>
  <c r="E2" i="10" s="1"/>
  <c r="D2" i="9"/>
  <c r="B2" i="9" a="1"/>
  <c r="C2" i="9" s="1"/>
  <c r="E2" i="9" s="1"/>
  <c r="D2" i="8"/>
  <c r="B2" i="8" a="1"/>
  <c r="C2" i="8" s="1"/>
  <c r="E2" i="8" s="1"/>
  <c r="D2" i="7"/>
  <c r="B2" i="7" a="1"/>
  <c r="C2" i="7" s="1"/>
  <c r="E2" i="7" s="1"/>
  <c r="D2" i="6"/>
  <c r="B2" i="6" a="1"/>
  <c r="C2" i="6" s="1"/>
  <c r="E2" i="6" s="1"/>
  <c r="D2" i="5"/>
  <c r="B2" i="5" a="1"/>
  <c r="C2" i="5" s="1"/>
  <c r="E2" i="5" s="1"/>
  <c r="D2" i="4"/>
  <c r="E2" i="4" s="1"/>
  <c r="C2" i="4"/>
  <c r="D31" i="14"/>
  <c r="B31" i="14" a="1"/>
  <c r="D30" i="14"/>
  <c r="B30" i="14" a="1"/>
  <c r="C31" i="14" s="1"/>
  <c r="D29" i="14"/>
  <c r="B29" i="14" a="1"/>
  <c r="C30" i="14" s="1"/>
  <c r="E31" i="14" s="1"/>
  <c r="D28" i="14"/>
  <c r="B28" i="14" a="1"/>
  <c r="C29" i="14" s="1"/>
  <c r="E30" i="14" s="1"/>
  <c r="M29" i="15" s="1"/>
  <c r="D27" i="14"/>
  <c r="B27" i="14" a="1"/>
  <c r="C28" i="14" s="1"/>
  <c r="E29" i="14" s="1"/>
  <c r="M28" i="15" s="1"/>
  <c r="D26" i="14"/>
  <c r="B26" i="14" a="1"/>
  <c r="C27" i="14" s="1"/>
  <c r="E28" i="14" s="1"/>
  <c r="M27" i="15" s="1"/>
  <c r="D25" i="14"/>
  <c r="B25" i="14" a="1"/>
  <c r="C26" i="14" s="1"/>
  <c r="E27" i="14" s="1"/>
  <c r="M26" i="15" s="1"/>
  <c r="D24" i="14"/>
  <c r="B24" i="14" a="1"/>
  <c r="C25" i="14" s="1"/>
  <c r="E26" i="14" s="1"/>
  <c r="M25" i="15" s="1"/>
  <c r="D23" i="14"/>
  <c r="B23" i="14" a="1"/>
  <c r="C24" i="14" s="1"/>
  <c r="E25" i="14" s="1"/>
  <c r="M24" i="15" s="1"/>
  <c r="D22" i="14"/>
  <c r="B22" i="14" a="1"/>
  <c r="C23" i="14" s="1"/>
  <c r="E24" i="14" s="1"/>
  <c r="M23" i="15" s="1"/>
  <c r="D21" i="14"/>
  <c r="B21" i="14" a="1"/>
  <c r="C22" i="14" s="1"/>
  <c r="D20" i="14"/>
  <c r="B20" i="14" a="1"/>
  <c r="C21" i="14" s="1"/>
  <c r="D19" i="14"/>
  <c r="B19" i="14" a="1"/>
  <c r="C20" i="14" s="1"/>
  <c r="D18" i="14"/>
  <c r="B18" i="14" a="1"/>
  <c r="C19" i="14" s="1"/>
  <c r="D17" i="14"/>
  <c r="B17" i="14" a="1"/>
  <c r="C18" i="14" s="1"/>
  <c r="D16" i="14"/>
  <c r="B16" i="14" a="1"/>
  <c r="C17" i="14" s="1"/>
  <c r="D15" i="14"/>
  <c r="B15" i="14" a="1"/>
  <c r="C16" i="14" s="1"/>
  <c r="D14" i="14"/>
  <c r="B14" i="14" a="1"/>
  <c r="C15" i="14" s="1"/>
  <c r="D13" i="14"/>
  <c r="B13" i="14" a="1"/>
  <c r="C14" i="14" s="1"/>
  <c r="D12" i="14"/>
  <c r="B12" i="14" a="1"/>
  <c r="C13" i="14" s="1"/>
  <c r="D11" i="14"/>
  <c r="B11" i="14" a="1"/>
  <c r="C12" i="14" s="1"/>
  <c r="D10" i="14"/>
  <c r="B10" i="14" a="1"/>
  <c r="C11" i="14" s="1"/>
  <c r="D9" i="14"/>
  <c r="B9" i="14" a="1"/>
  <c r="C10" i="14" s="1"/>
  <c r="E11" i="14" s="1"/>
  <c r="M10" i="15" s="1"/>
  <c r="D8" i="14"/>
  <c r="B8" i="14" a="1"/>
  <c r="C9" i="14" s="1"/>
  <c r="E10" i="14" s="1"/>
  <c r="M9" i="15" s="1"/>
  <c r="D7" i="14"/>
  <c r="B7" i="14" a="1"/>
  <c r="C8" i="14" s="1"/>
  <c r="E9" i="14" s="1"/>
  <c r="M8" i="15" s="1"/>
  <c r="D6" i="14"/>
  <c r="B6" i="14" a="1"/>
  <c r="C7" i="14" s="1"/>
  <c r="D5" i="14"/>
  <c r="B5" i="14" a="1"/>
  <c r="C6" i="14" s="1"/>
  <c r="D4" i="14"/>
  <c r="B4" i="14" a="1"/>
  <c r="C5" i="14" s="1"/>
  <c r="E6" i="14" s="1"/>
  <c r="M5" i="15" s="1"/>
  <c r="B3" i="14" a="1"/>
  <c r="D31" i="13"/>
  <c r="B31" i="13" a="1"/>
  <c r="D30" i="13"/>
  <c r="B30" i="13" a="1"/>
  <c r="C31" i="13" s="1"/>
  <c r="D29" i="13"/>
  <c r="B29" i="13" a="1"/>
  <c r="C30" i="13" s="1"/>
  <c r="E31" i="13" s="1"/>
  <c r="D28" i="13"/>
  <c r="B28" i="13" a="1"/>
  <c r="C29" i="13" s="1"/>
  <c r="E30" i="13" s="1"/>
  <c r="L29" i="15" s="1"/>
  <c r="D27" i="13"/>
  <c r="B27" i="13" a="1"/>
  <c r="C28" i="13" s="1"/>
  <c r="E29" i="13" s="1"/>
  <c r="L28" i="15" s="1"/>
  <c r="D26" i="13"/>
  <c r="B26" i="13" a="1"/>
  <c r="C27" i="13" s="1"/>
  <c r="E28" i="13" s="1"/>
  <c r="L27" i="15" s="1"/>
  <c r="D25" i="13"/>
  <c r="B25" i="13" a="1"/>
  <c r="C26" i="13" s="1"/>
  <c r="E27" i="13" s="1"/>
  <c r="L26" i="15" s="1"/>
  <c r="D24" i="13"/>
  <c r="B24" i="13" a="1"/>
  <c r="C25" i="13" s="1"/>
  <c r="E26" i="13" s="1"/>
  <c r="L25" i="15" s="1"/>
  <c r="D23" i="13"/>
  <c r="B23" i="13" a="1"/>
  <c r="C24" i="13" s="1"/>
  <c r="E25" i="13" s="1"/>
  <c r="L24" i="15" s="1"/>
  <c r="D22" i="13"/>
  <c r="B22" i="13" a="1"/>
  <c r="C23" i="13" s="1"/>
  <c r="E24" i="13" s="1"/>
  <c r="L23" i="15" s="1"/>
  <c r="D21" i="13"/>
  <c r="B21" i="13" a="1"/>
  <c r="C22" i="13" s="1"/>
  <c r="D20" i="13"/>
  <c r="B20" i="13" a="1"/>
  <c r="C21" i="13" s="1"/>
  <c r="D19" i="13"/>
  <c r="B19" i="13" a="1"/>
  <c r="C20" i="13" s="1"/>
  <c r="D18" i="13"/>
  <c r="B18" i="13" a="1"/>
  <c r="C19" i="13" s="1"/>
  <c r="D17" i="13"/>
  <c r="B17" i="13" a="1"/>
  <c r="C18" i="13" s="1"/>
  <c r="D16" i="13"/>
  <c r="B16" i="13" a="1"/>
  <c r="C17" i="13" s="1"/>
  <c r="D15" i="13"/>
  <c r="B15" i="13" a="1"/>
  <c r="C16" i="13" s="1"/>
  <c r="D14" i="13"/>
  <c r="B14" i="13" a="1"/>
  <c r="C15" i="13" s="1"/>
  <c r="D13" i="13"/>
  <c r="B13" i="13" a="1"/>
  <c r="C14" i="13" s="1"/>
  <c r="D12" i="13"/>
  <c r="B12" i="13" a="1"/>
  <c r="C13" i="13" s="1"/>
  <c r="E14" i="13" s="1"/>
  <c r="L13" i="15" s="1"/>
  <c r="D11" i="13"/>
  <c r="B11" i="13" a="1"/>
  <c r="C12" i="13" s="1"/>
  <c r="D10" i="13"/>
  <c r="B10" i="13" a="1"/>
  <c r="C11" i="13" s="1"/>
  <c r="D9" i="13"/>
  <c r="B9" i="13" a="1"/>
  <c r="C10" i="13" s="1"/>
  <c r="D8" i="13"/>
  <c r="B8" i="13" a="1"/>
  <c r="C9" i="13" s="1"/>
  <c r="D7" i="13"/>
  <c r="B7" i="13" a="1"/>
  <c r="C8" i="13" s="1"/>
  <c r="D6" i="13"/>
  <c r="B6" i="13" a="1"/>
  <c r="C7" i="13" s="1"/>
  <c r="E8" i="13" s="1"/>
  <c r="L7" i="15" s="1"/>
  <c r="D5" i="13"/>
  <c r="B5" i="13" a="1"/>
  <c r="C6" i="13" s="1"/>
  <c r="E7" i="13" s="1"/>
  <c r="L6" i="15" s="1"/>
  <c r="D4" i="13"/>
  <c r="B4" i="13" a="1"/>
  <c r="C5" i="13" s="1"/>
  <c r="E6" i="13" s="1"/>
  <c r="L5" i="15" s="1"/>
  <c r="D3" i="13"/>
  <c r="B3" i="13" a="1"/>
  <c r="D31" i="12"/>
  <c r="B31" i="12" a="1"/>
  <c r="D30" i="12"/>
  <c r="B30" i="12" a="1"/>
  <c r="C31" i="12" s="1"/>
  <c r="D29" i="12"/>
  <c r="B29" i="12" a="1"/>
  <c r="C30" i="12" s="1"/>
  <c r="E31" i="12" s="1"/>
  <c r="D28" i="12"/>
  <c r="B28" i="12" a="1"/>
  <c r="C29" i="12" s="1"/>
  <c r="E30" i="12" s="1"/>
  <c r="K29" i="15" s="1"/>
  <c r="D27" i="12"/>
  <c r="B27" i="12" a="1"/>
  <c r="C28" i="12" s="1"/>
  <c r="E29" i="12" s="1"/>
  <c r="K28" i="15" s="1"/>
  <c r="D26" i="12"/>
  <c r="B26" i="12" a="1"/>
  <c r="C27" i="12" s="1"/>
  <c r="E28" i="12" s="1"/>
  <c r="K27" i="15" s="1"/>
  <c r="D25" i="12"/>
  <c r="B25" i="12" a="1"/>
  <c r="C26" i="12" s="1"/>
  <c r="D24" i="12"/>
  <c r="B24" i="12" a="1"/>
  <c r="C25" i="12" s="1"/>
  <c r="E26" i="12" s="1"/>
  <c r="K25" i="15" s="1"/>
  <c r="D23" i="12"/>
  <c r="B23" i="12" a="1"/>
  <c r="C24" i="12" s="1"/>
  <c r="E25" i="12" s="1"/>
  <c r="K24" i="15" s="1"/>
  <c r="D22" i="12"/>
  <c r="B22" i="12" a="1"/>
  <c r="C23" i="12" s="1"/>
  <c r="D21" i="12"/>
  <c r="B21" i="12" a="1"/>
  <c r="C22" i="12" s="1"/>
  <c r="D20" i="12"/>
  <c r="B20" i="12" a="1"/>
  <c r="C21" i="12" s="1"/>
  <c r="D19" i="12"/>
  <c r="B19" i="12" a="1"/>
  <c r="C20" i="12" s="1"/>
  <c r="D18" i="12"/>
  <c r="B18" i="12" a="1"/>
  <c r="C19" i="12" s="1"/>
  <c r="D17" i="12"/>
  <c r="B17" i="12" a="1"/>
  <c r="C18" i="12" s="1"/>
  <c r="D16" i="12"/>
  <c r="B16" i="12" a="1"/>
  <c r="C17" i="12" s="1"/>
  <c r="D15" i="12"/>
  <c r="B15" i="12" a="1"/>
  <c r="C16" i="12" s="1"/>
  <c r="D14" i="12"/>
  <c r="B14" i="12" a="1"/>
  <c r="C15" i="12" s="1"/>
  <c r="D13" i="12"/>
  <c r="B13" i="12" a="1"/>
  <c r="C14" i="12" s="1"/>
  <c r="D12" i="12"/>
  <c r="B12" i="12" a="1"/>
  <c r="C13" i="12" s="1"/>
  <c r="D11" i="12"/>
  <c r="B11" i="12" a="1"/>
  <c r="C12" i="12" s="1"/>
  <c r="D10" i="12"/>
  <c r="B10" i="12" a="1"/>
  <c r="C11" i="12" s="1"/>
  <c r="D9" i="12"/>
  <c r="B9" i="12" a="1"/>
  <c r="C10" i="12" s="1"/>
  <c r="D8" i="12"/>
  <c r="B8" i="12" a="1"/>
  <c r="C9" i="12" s="1"/>
  <c r="D7" i="12"/>
  <c r="B7" i="12" a="1"/>
  <c r="C8" i="12" s="1"/>
  <c r="D6" i="12"/>
  <c r="B6" i="12" a="1"/>
  <c r="C7" i="12" s="1"/>
  <c r="E8" i="12" s="1"/>
  <c r="K7" i="15" s="1"/>
  <c r="D5" i="12"/>
  <c r="B5" i="12" a="1"/>
  <c r="C6" i="12" s="1"/>
  <c r="E7" i="12" s="1"/>
  <c r="K6" i="15" s="1"/>
  <c r="D4" i="12"/>
  <c r="B4" i="12" a="1"/>
  <c r="C5" i="12" s="1"/>
  <c r="E6" i="12" s="1"/>
  <c r="K5" i="15" s="1"/>
  <c r="D3" i="12"/>
  <c r="B3" i="12" a="1"/>
  <c r="D31" i="11"/>
  <c r="B31" i="11" a="1"/>
  <c r="D30" i="11"/>
  <c r="B30" i="11" a="1"/>
  <c r="C31" i="11" s="1"/>
  <c r="D29" i="11"/>
  <c r="B29" i="11" a="1"/>
  <c r="C30" i="11" s="1"/>
  <c r="E31" i="11" s="1"/>
  <c r="D28" i="11"/>
  <c r="B28" i="11" a="1"/>
  <c r="C29" i="11" s="1"/>
  <c r="E30" i="11" s="1"/>
  <c r="J29" i="15" s="1"/>
  <c r="D27" i="11"/>
  <c r="B27" i="11" a="1"/>
  <c r="C28" i="11" s="1"/>
  <c r="E29" i="11" s="1"/>
  <c r="J28" i="15" s="1"/>
  <c r="D26" i="11"/>
  <c r="B26" i="11" a="1"/>
  <c r="C27" i="11" s="1"/>
  <c r="E28" i="11" s="1"/>
  <c r="J27" i="15" s="1"/>
  <c r="D25" i="11"/>
  <c r="B25" i="11" a="1"/>
  <c r="C26" i="11" s="1"/>
  <c r="E27" i="11" s="1"/>
  <c r="J26" i="15" s="1"/>
  <c r="D24" i="11"/>
  <c r="B24" i="11" a="1"/>
  <c r="C25" i="11" s="1"/>
  <c r="E26" i="11" s="1"/>
  <c r="J25" i="15" s="1"/>
  <c r="D23" i="11"/>
  <c r="B23" i="11" a="1"/>
  <c r="C24" i="11" s="1"/>
  <c r="D22" i="11"/>
  <c r="B22" i="11" a="1"/>
  <c r="C23" i="11" s="1"/>
  <c r="D21" i="11"/>
  <c r="B21" i="11" a="1"/>
  <c r="C22" i="11" s="1"/>
  <c r="D20" i="11"/>
  <c r="B20" i="11" a="1"/>
  <c r="C21" i="11" s="1"/>
  <c r="D19" i="11"/>
  <c r="B19" i="11" a="1"/>
  <c r="C20" i="11" s="1"/>
  <c r="D18" i="11"/>
  <c r="B18" i="11" a="1"/>
  <c r="C19" i="11" s="1"/>
  <c r="D17" i="11"/>
  <c r="B17" i="11" a="1"/>
  <c r="C18" i="11" s="1"/>
  <c r="D16" i="11"/>
  <c r="B16" i="11" a="1"/>
  <c r="C17" i="11" s="1"/>
  <c r="D15" i="11"/>
  <c r="B15" i="11" a="1"/>
  <c r="C16" i="11" s="1"/>
  <c r="D14" i="11"/>
  <c r="B14" i="11" a="1"/>
  <c r="C15" i="11" s="1"/>
  <c r="D13" i="11"/>
  <c r="B13" i="11" a="1"/>
  <c r="C14" i="11" s="1"/>
  <c r="D12" i="11"/>
  <c r="B12" i="11" a="1"/>
  <c r="C13" i="11" s="1"/>
  <c r="D11" i="11"/>
  <c r="B11" i="11" a="1"/>
  <c r="C12" i="11" s="1"/>
  <c r="D10" i="11"/>
  <c r="B10" i="11" a="1"/>
  <c r="C11" i="11" s="1"/>
  <c r="D9" i="11"/>
  <c r="B9" i="11" a="1"/>
  <c r="C10" i="11" s="1"/>
  <c r="D8" i="11"/>
  <c r="B8" i="11" a="1"/>
  <c r="C9" i="11" s="1"/>
  <c r="D7" i="11"/>
  <c r="B7" i="11" a="1"/>
  <c r="C8" i="11" s="1"/>
  <c r="D6" i="11"/>
  <c r="B6" i="11" a="1"/>
  <c r="C7" i="11" s="1"/>
  <c r="D5" i="11"/>
  <c r="B5" i="11" a="1"/>
  <c r="C6" i="11" s="1"/>
  <c r="E7" i="11" s="1"/>
  <c r="J6" i="15" s="1"/>
  <c r="D4" i="11"/>
  <c r="B4" i="11" a="1"/>
  <c r="C5" i="11" s="1"/>
  <c r="E6" i="11" s="1"/>
  <c r="J5" i="15" s="1"/>
  <c r="D3" i="11"/>
  <c r="B3" i="11" a="1"/>
  <c r="D31" i="10"/>
  <c r="B31" i="10" a="1"/>
  <c r="D30" i="10"/>
  <c r="B30" i="10" a="1"/>
  <c r="C31" i="10" s="1"/>
  <c r="D29" i="10"/>
  <c r="B29" i="10" a="1"/>
  <c r="C30" i="10" s="1"/>
  <c r="E31" i="10" s="1"/>
  <c r="D28" i="10"/>
  <c r="B28" i="10" a="1"/>
  <c r="C29" i="10" s="1"/>
  <c r="E30" i="10" s="1"/>
  <c r="I29" i="15" s="1"/>
  <c r="D27" i="10"/>
  <c r="B27" i="10" a="1"/>
  <c r="C28" i="10" s="1"/>
  <c r="E29" i="10" s="1"/>
  <c r="I28" i="15" s="1"/>
  <c r="D26" i="10"/>
  <c r="B26" i="10" a="1"/>
  <c r="C27" i="10" s="1"/>
  <c r="E28" i="10" s="1"/>
  <c r="I27" i="15" s="1"/>
  <c r="D25" i="10"/>
  <c r="B25" i="10" a="1"/>
  <c r="C26" i="10" s="1"/>
  <c r="E27" i="10" s="1"/>
  <c r="I26" i="15" s="1"/>
  <c r="D24" i="10"/>
  <c r="B24" i="10" a="1"/>
  <c r="C25" i="10" s="1"/>
  <c r="D23" i="10"/>
  <c r="B23" i="10" a="1"/>
  <c r="C24" i="10" s="1"/>
  <c r="D22" i="10"/>
  <c r="B22" i="10" a="1"/>
  <c r="C23" i="10" s="1"/>
  <c r="D21" i="10"/>
  <c r="B21" i="10" a="1"/>
  <c r="C22" i="10" s="1"/>
  <c r="D20" i="10"/>
  <c r="B20" i="10" a="1"/>
  <c r="C21" i="10" s="1"/>
  <c r="D19" i="10"/>
  <c r="B19" i="10" a="1"/>
  <c r="C20" i="10" s="1"/>
  <c r="D18" i="10"/>
  <c r="B18" i="10" a="1"/>
  <c r="C19" i="10" s="1"/>
  <c r="D17" i="10"/>
  <c r="B17" i="10" a="1"/>
  <c r="C18" i="10" s="1"/>
  <c r="D16" i="10"/>
  <c r="B16" i="10" a="1"/>
  <c r="C17" i="10" s="1"/>
  <c r="D15" i="10"/>
  <c r="B15" i="10" a="1"/>
  <c r="C16" i="10" s="1"/>
  <c r="D14" i="10"/>
  <c r="B14" i="10" a="1"/>
  <c r="C15" i="10" s="1"/>
  <c r="D13" i="10"/>
  <c r="B13" i="10" a="1"/>
  <c r="C14" i="10" s="1"/>
  <c r="D12" i="10"/>
  <c r="B12" i="10" a="1"/>
  <c r="C13" i="10" s="1"/>
  <c r="D11" i="10"/>
  <c r="B11" i="10" a="1"/>
  <c r="C12" i="10" s="1"/>
  <c r="D10" i="10"/>
  <c r="B10" i="10" a="1"/>
  <c r="C11" i="10" s="1"/>
  <c r="D9" i="10"/>
  <c r="B9" i="10" a="1"/>
  <c r="C10" i="10" s="1"/>
  <c r="D8" i="10"/>
  <c r="B8" i="10" a="1"/>
  <c r="C9" i="10" s="1"/>
  <c r="E10" i="10" s="1"/>
  <c r="I9" i="15" s="1"/>
  <c r="D7" i="10"/>
  <c r="B7" i="10" a="1"/>
  <c r="C8" i="10" s="1"/>
  <c r="D6" i="10"/>
  <c r="B6" i="10" a="1"/>
  <c r="C7" i="10" s="1"/>
  <c r="D5" i="10"/>
  <c r="B5" i="10" a="1"/>
  <c r="C6" i="10" s="1"/>
  <c r="E7" i="10" s="1"/>
  <c r="I6" i="15" s="1"/>
  <c r="D4" i="10"/>
  <c r="B4" i="10" a="1"/>
  <c r="C5" i="10" s="1"/>
  <c r="E6" i="10" s="1"/>
  <c r="I5" i="15" s="1"/>
  <c r="D3" i="10"/>
  <c r="B3" i="10" a="1"/>
  <c r="D31" i="9"/>
  <c r="B31" i="9" a="1"/>
  <c r="D30" i="9"/>
  <c r="B30" i="9" a="1"/>
  <c r="C31" i="9" s="1"/>
  <c r="D29" i="9"/>
  <c r="B29" i="9" a="1"/>
  <c r="C30" i="9" s="1"/>
  <c r="D28" i="9"/>
  <c r="B28" i="9" a="1"/>
  <c r="C29" i="9" s="1"/>
  <c r="D27" i="9"/>
  <c r="B27" i="9" a="1"/>
  <c r="C28" i="9" s="1"/>
  <c r="E29" i="9" s="1"/>
  <c r="H28" i="15" s="1"/>
  <c r="D26" i="9"/>
  <c r="B26" i="9" a="1"/>
  <c r="C27" i="9" s="1"/>
  <c r="E28" i="9" s="1"/>
  <c r="H27" i="15" s="1"/>
  <c r="D25" i="9"/>
  <c r="B25" i="9" a="1"/>
  <c r="C26" i="9" s="1"/>
  <c r="D24" i="9"/>
  <c r="B24" i="9" a="1"/>
  <c r="C25" i="9" s="1"/>
  <c r="D23" i="9"/>
  <c r="B23" i="9" a="1"/>
  <c r="C24" i="9" s="1"/>
  <c r="D22" i="9"/>
  <c r="B22" i="9" a="1"/>
  <c r="C23" i="9" s="1"/>
  <c r="D21" i="9"/>
  <c r="B21" i="9" a="1"/>
  <c r="C22" i="9" s="1"/>
  <c r="E23" i="9" s="1"/>
  <c r="H22" i="15" s="1"/>
  <c r="D20" i="9"/>
  <c r="B20" i="9" a="1"/>
  <c r="C21" i="9" s="1"/>
  <c r="E22" i="9" s="1"/>
  <c r="H21" i="15" s="1"/>
  <c r="D19" i="9"/>
  <c r="B19" i="9" a="1"/>
  <c r="C20" i="9" s="1"/>
  <c r="D18" i="9"/>
  <c r="B18" i="9" a="1"/>
  <c r="C19" i="9" s="1"/>
  <c r="D17" i="9"/>
  <c r="B17" i="9" a="1"/>
  <c r="C18" i="9" s="1"/>
  <c r="D16" i="9"/>
  <c r="B16" i="9" a="1"/>
  <c r="C17" i="9" s="1"/>
  <c r="D15" i="9"/>
  <c r="B15" i="9" a="1"/>
  <c r="C16" i="9" s="1"/>
  <c r="D14" i="9"/>
  <c r="B14" i="9" a="1"/>
  <c r="C15" i="9" s="1"/>
  <c r="D13" i="9"/>
  <c r="B13" i="9" a="1"/>
  <c r="C14" i="9" s="1"/>
  <c r="D12" i="9"/>
  <c r="B12" i="9" a="1"/>
  <c r="C13" i="9" s="1"/>
  <c r="D11" i="9"/>
  <c r="B11" i="9" a="1"/>
  <c r="C12" i="9" s="1"/>
  <c r="D10" i="9"/>
  <c r="B10" i="9" a="1"/>
  <c r="C11" i="9" s="1"/>
  <c r="D9" i="9"/>
  <c r="B9" i="9" a="1"/>
  <c r="C10" i="9" s="1"/>
  <c r="D8" i="9"/>
  <c r="B8" i="9" a="1"/>
  <c r="C9" i="9" s="1"/>
  <c r="D7" i="9"/>
  <c r="B7" i="9" a="1"/>
  <c r="C8" i="9" s="1"/>
  <c r="D6" i="9"/>
  <c r="B6" i="9" a="1"/>
  <c r="C7" i="9" s="1"/>
  <c r="D5" i="9"/>
  <c r="B5" i="9" a="1"/>
  <c r="C6" i="9" s="1"/>
  <c r="D4" i="9"/>
  <c r="B4" i="9" a="1"/>
  <c r="C5" i="9" s="1"/>
  <c r="D3" i="9"/>
  <c r="B3" i="9" a="1"/>
  <c r="D31" i="8"/>
  <c r="B31" i="8" a="1"/>
  <c r="D30" i="8"/>
  <c r="B30" i="8" a="1"/>
  <c r="C31" i="8" s="1"/>
  <c r="D29" i="8"/>
  <c r="B29" i="8" a="1"/>
  <c r="C30" i="8" s="1"/>
  <c r="D28" i="8"/>
  <c r="B28" i="8" a="1"/>
  <c r="C29" i="8" s="1"/>
  <c r="D27" i="8"/>
  <c r="B27" i="8" a="1"/>
  <c r="C28" i="8" s="1"/>
  <c r="D26" i="8"/>
  <c r="B26" i="8" a="1"/>
  <c r="C27" i="8" s="1"/>
  <c r="D25" i="8"/>
  <c r="B25" i="8" a="1"/>
  <c r="C26" i="8" s="1"/>
  <c r="E27" i="8" s="1"/>
  <c r="G26" i="15" s="1"/>
  <c r="D24" i="8"/>
  <c r="B24" i="8" a="1"/>
  <c r="C25" i="8" s="1"/>
  <c r="E26" i="8" s="1"/>
  <c r="G25" i="15" s="1"/>
  <c r="D23" i="8"/>
  <c r="B23" i="8" a="1"/>
  <c r="C24" i="8" s="1"/>
  <c r="E25" i="8" s="1"/>
  <c r="G24" i="15" s="1"/>
  <c r="D22" i="8"/>
  <c r="B22" i="8" a="1"/>
  <c r="C23" i="8" s="1"/>
  <c r="E24" i="8" s="1"/>
  <c r="G23" i="15" s="1"/>
  <c r="D21" i="8"/>
  <c r="B21" i="8" a="1"/>
  <c r="C22" i="8" s="1"/>
  <c r="E23" i="8" s="1"/>
  <c r="G22" i="15" s="1"/>
  <c r="D20" i="8"/>
  <c r="B20" i="8" a="1"/>
  <c r="C21" i="8" s="1"/>
  <c r="E22" i="8" s="1"/>
  <c r="G21" i="15" s="1"/>
  <c r="D19" i="8"/>
  <c r="B19" i="8" a="1"/>
  <c r="C20" i="8" s="1"/>
  <c r="D18" i="8"/>
  <c r="B18" i="8" a="1"/>
  <c r="C19" i="8" s="1"/>
  <c r="D17" i="8"/>
  <c r="B17" i="8" a="1"/>
  <c r="C18" i="8" s="1"/>
  <c r="D16" i="8"/>
  <c r="B16" i="8" a="1"/>
  <c r="C17" i="8" s="1"/>
  <c r="D15" i="8"/>
  <c r="B15" i="8" a="1"/>
  <c r="C16" i="8" s="1"/>
  <c r="D14" i="8"/>
  <c r="B14" i="8" a="1"/>
  <c r="C15" i="8" s="1"/>
  <c r="D13" i="8"/>
  <c r="B13" i="8" a="1"/>
  <c r="C14" i="8" s="1"/>
  <c r="D12" i="8"/>
  <c r="B12" i="8" a="1"/>
  <c r="C13" i="8" s="1"/>
  <c r="D11" i="8"/>
  <c r="B11" i="8" a="1"/>
  <c r="C12" i="8" s="1"/>
  <c r="D10" i="8"/>
  <c r="B10" i="8" a="1"/>
  <c r="C11" i="8" s="1"/>
  <c r="D9" i="8"/>
  <c r="B9" i="8" a="1"/>
  <c r="C10" i="8" s="1"/>
  <c r="D8" i="8"/>
  <c r="B8" i="8" a="1"/>
  <c r="C9" i="8" s="1"/>
  <c r="D7" i="8"/>
  <c r="B7" i="8" a="1"/>
  <c r="C8" i="8" s="1"/>
  <c r="D6" i="8"/>
  <c r="B6" i="8" a="1"/>
  <c r="C7" i="8" s="1"/>
  <c r="E8" i="8" s="1"/>
  <c r="G7" i="15" s="1"/>
  <c r="D5" i="8"/>
  <c r="B5" i="8" a="1"/>
  <c r="C6" i="8" s="1"/>
  <c r="D4" i="8"/>
  <c r="B4" i="8" a="1"/>
  <c r="C5" i="8" s="1"/>
  <c r="E6" i="8" s="1"/>
  <c r="G5" i="15" s="1"/>
  <c r="D3" i="8"/>
  <c r="B3" i="8" a="1"/>
  <c r="D31" i="7"/>
  <c r="B31" i="7" a="1"/>
  <c r="D30" i="7"/>
  <c r="B30" i="7" a="1"/>
  <c r="C31" i="7" s="1"/>
  <c r="D29" i="7"/>
  <c r="B29" i="7" a="1"/>
  <c r="C30" i="7" s="1"/>
  <c r="D28" i="7"/>
  <c r="B28" i="7" a="1"/>
  <c r="C29" i="7" s="1"/>
  <c r="D27" i="7"/>
  <c r="B27" i="7" a="1"/>
  <c r="C28" i="7" s="1"/>
  <c r="D26" i="7"/>
  <c r="B26" i="7" a="1"/>
  <c r="C27" i="7" s="1"/>
  <c r="D25" i="7"/>
  <c r="B25" i="7" a="1"/>
  <c r="C26" i="7" s="1"/>
  <c r="E27" i="7" s="1"/>
  <c r="F26" i="15" s="1"/>
  <c r="D24" i="7"/>
  <c r="B24" i="7" a="1"/>
  <c r="C25" i="7" s="1"/>
  <c r="D23" i="7"/>
  <c r="B23" i="7" a="1"/>
  <c r="C24" i="7" s="1"/>
  <c r="E25" i="7" s="1"/>
  <c r="F24" i="15" s="1"/>
  <c r="D22" i="7"/>
  <c r="B22" i="7" a="1"/>
  <c r="C23" i="7" s="1"/>
  <c r="E24" i="7" s="1"/>
  <c r="F23" i="15" s="1"/>
  <c r="D21" i="7"/>
  <c r="B21" i="7" a="1"/>
  <c r="C22" i="7" s="1"/>
  <c r="E23" i="7" s="1"/>
  <c r="F22" i="15" s="1"/>
  <c r="D20" i="7"/>
  <c r="B20" i="7" a="1"/>
  <c r="C21" i="7" s="1"/>
  <c r="D19" i="7"/>
  <c r="B19" i="7" a="1"/>
  <c r="C20" i="7" s="1"/>
  <c r="E21" i="7" s="1"/>
  <c r="F20" i="15" s="1"/>
  <c r="D18" i="7"/>
  <c r="B18" i="7" a="1"/>
  <c r="C19" i="7" s="1"/>
  <c r="E20" i="7" s="1"/>
  <c r="F19" i="15" s="1"/>
  <c r="D17" i="7"/>
  <c r="B17" i="7" a="1"/>
  <c r="C18" i="7" s="1"/>
  <c r="D16" i="7"/>
  <c r="B16" i="7" a="1"/>
  <c r="C17" i="7" s="1"/>
  <c r="D15" i="7"/>
  <c r="B15" i="7" a="1"/>
  <c r="C16" i="7" s="1"/>
  <c r="D14" i="7"/>
  <c r="B14" i="7" a="1"/>
  <c r="C15" i="7" s="1"/>
  <c r="D13" i="7"/>
  <c r="B13" i="7" a="1"/>
  <c r="C14" i="7" s="1"/>
  <c r="D12" i="7"/>
  <c r="B12" i="7" a="1"/>
  <c r="C13" i="7" s="1"/>
  <c r="D11" i="7"/>
  <c r="B11" i="7" a="1"/>
  <c r="C12" i="7" s="1"/>
  <c r="D10" i="7"/>
  <c r="B10" i="7" a="1"/>
  <c r="C11" i="7" s="1"/>
  <c r="D9" i="7"/>
  <c r="B9" i="7" a="1"/>
  <c r="C10" i="7" s="1"/>
  <c r="D8" i="7"/>
  <c r="B8" i="7" a="1"/>
  <c r="C9" i="7" s="1"/>
  <c r="D7" i="7"/>
  <c r="B7" i="7" a="1"/>
  <c r="C8" i="7" s="1"/>
  <c r="D6" i="7"/>
  <c r="B6" i="7" a="1"/>
  <c r="C7" i="7" s="1"/>
  <c r="D5" i="7"/>
  <c r="B5" i="7" a="1"/>
  <c r="C6" i="7" s="1"/>
  <c r="D4" i="7"/>
  <c r="B4" i="7" a="1"/>
  <c r="C5" i="7" s="1"/>
  <c r="D3" i="7"/>
  <c r="B3" i="7" a="1"/>
  <c r="D31" i="6"/>
  <c r="B31" i="6" a="1"/>
  <c r="D30" i="6"/>
  <c r="B30" i="6" a="1"/>
  <c r="C31" i="6" s="1"/>
  <c r="D29" i="6"/>
  <c r="B29" i="6" a="1"/>
  <c r="C30" i="6" s="1"/>
  <c r="E31" i="6" s="1"/>
  <c r="D28" i="6"/>
  <c r="B28" i="6" a="1"/>
  <c r="C29" i="6" s="1"/>
  <c r="E30" i="6" s="1"/>
  <c r="E29" i="15" s="1"/>
  <c r="D27" i="6"/>
  <c r="B27" i="6" a="1"/>
  <c r="C28" i="6" s="1"/>
  <c r="D26" i="6"/>
  <c r="B26" i="6" a="1"/>
  <c r="C27" i="6" s="1"/>
  <c r="D25" i="6"/>
  <c r="B25" i="6" a="1"/>
  <c r="C26" i="6" s="1"/>
  <c r="E27" i="6" s="1"/>
  <c r="E26" i="15" s="1"/>
  <c r="D24" i="6"/>
  <c r="B24" i="6" a="1"/>
  <c r="C25" i="6" s="1"/>
  <c r="E26" i="6" s="1"/>
  <c r="E25" i="15" s="1"/>
  <c r="D23" i="6"/>
  <c r="B23" i="6" a="1"/>
  <c r="C24" i="6" s="1"/>
  <c r="D22" i="6"/>
  <c r="B22" i="6" a="1"/>
  <c r="C23" i="6" s="1"/>
  <c r="D21" i="6"/>
  <c r="B21" i="6" a="1"/>
  <c r="C22" i="6" s="1"/>
  <c r="D20" i="6"/>
  <c r="B20" i="6" a="1"/>
  <c r="C21" i="6" s="1"/>
  <c r="D19" i="6"/>
  <c r="B19" i="6" a="1"/>
  <c r="C20" i="6" s="1"/>
  <c r="D18" i="6"/>
  <c r="B18" i="6" a="1"/>
  <c r="C19" i="6" s="1"/>
  <c r="D17" i="6"/>
  <c r="B17" i="6" a="1"/>
  <c r="C18" i="6" s="1"/>
  <c r="E19" i="6" s="1"/>
  <c r="E18" i="15" s="1"/>
  <c r="D16" i="6"/>
  <c r="B16" i="6" a="1"/>
  <c r="C17" i="6" s="1"/>
  <c r="D15" i="6"/>
  <c r="B15" i="6" a="1"/>
  <c r="C16" i="6" s="1"/>
  <c r="D14" i="6"/>
  <c r="B14" i="6" a="1"/>
  <c r="C15" i="6" s="1"/>
  <c r="E16" i="6" s="1"/>
  <c r="E15" i="15" s="1"/>
  <c r="D13" i="6"/>
  <c r="B13" i="6" a="1"/>
  <c r="C14" i="6" s="1"/>
  <c r="E15" i="6" s="1"/>
  <c r="E14" i="15" s="1"/>
  <c r="D12" i="6"/>
  <c r="B12" i="6" a="1"/>
  <c r="C13" i="6" s="1"/>
  <c r="D11" i="6"/>
  <c r="B11" i="6" a="1"/>
  <c r="C12" i="6" s="1"/>
  <c r="D10" i="6"/>
  <c r="B10" i="6" a="1"/>
  <c r="C11" i="6" s="1"/>
  <c r="D9" i="6"/>
  <c r="B9" i="6" a="1"/>
  <c r="C10" i="6" s="1"/>
  <c r="D8" i="6"/>
  <c r="B8" i="6" a="1"/>
  <c r="C9" i="6" s="1"/>
  <c r="D7" i="6"/>
  <c r="B7" i="6" a="1"/>
  <c r="C8" i="6" s="1"/>
  <c r="D6" i="6"/>
  <c r="B6" i="6" a="1"/>
  <c r="C7" i="6" s="1"/>
  <c r="D5" i="6"/>
  <c r="B5" i="6" a="1"/>
  <c r="C6" i="6" s="1"/>
  <c r="D4" i="6"/>
  <c r="B4" i="6" a="1"/>
  <c r="C5" i="6" s="1"/>
  <c r="D3" i="6"/>
  <c r="B3" i="6" a="1"/>
  <c r="D31" i="5"/>
  <c r="B31" i="5" a="1"/>
  <c r="D30" i="5"/>
  <c r="B30" i="5" a="1"/>
  <c r="C31" i="5" s="1"/>
  <c r="D29" i="5"/>
  <c r="B29" i="5" a="1"/>
  <c r="C30" i="5" s="1"/>
  <c r="E31" i="5" s="1"/>
  <c r="D28" i="5"/>
  <c r="B28" i="5" a="1"/>
  <c r="C29" i="5" s="1"/>
  <c r="D27" i="5"/>
  <c r="B27" i="5" a="1"/>
  <c r="C28" i="5" s="1"/>
  <c r="D26" i="5"/>
  <c r="B26" i="5" a="1"/>
  <c r="C27" i="5" s="1"/>
  <c r="E28" i="5" s="1"/>
  <c r="D27" i="15" s="1"/>
  <c r="D25" i="5"/>
  <c r="B25" i="5" a="1"/>
  <c r="C26" i="5" s="1"/>
  <c r="E27" i="5" s="1"/>
  <c r="D26" i="15" s="1"/>
  <c r="D24" i="5"/>
  <c r="B24" i="5" a="1"/>
  <c r="C25" i="5" s="1"/>
  <c r="D23" i="5"/>
  <c r="B23" i="5" a="1"/>
  <c r="C24" i="5" s="1"/>
  <c r="D22" i="5"/>
  <c r="B22" i="5" a="1"/>
  <c r="C23" i="5" s="1"/>
  <c r="D21" i="5"/>
  <c r="B21" i="5" a="1"/>
  <c r="C22" i="5" s="1"/>
  <c r="D20" i="5"/>
  <c r="B20" i="5" a="1"/>
  <c r="C21" i="5" s="1"/>
  <c r="D19" i="5"/>
  <c r="B19" i="5" a="1"/>
  <c r="C20" i="5" s="1"/>
  <c r="E21" i="5" s="1"/>
  <c r="D20" i="15" s="1"/>
  <c r="D18" i="5"/>
  <c r="B18" i="5" a="1"/>
  <c r="C19" i="5" s="1"/>
  <c r="D17" i="5"/>
  <c r="B17" i="5" a="1"/>
  <c r="C18" i="5" s="1"/>
  <c r="D16" i="5"/>
  <c r="B16" i="5" a="1"/>
  <c r="C17" i="5" s="1"/>
  <c r="D15" i="5"/>
  <c r="B15" i="5" a="1"/>
  <c r="C16" i="5" s="1"/>
  <c r="D14" i="5"/>
  <c r="B14" i="5" a="1"/>
  <c r="C15" i="5" s="1"/>
  <c r="D13" i="5"/>
  <c r="B13" i="5" a="1"/>
  <c r="C14" i="5" s="1"/>
  <c r="D12" i="5"/>
  <c r="B12" i="5" a="1"/>
  <c r="C13" i="5" s="1"/>
  <c r="E14" i="5" s="1"/>
  <c r="D13" i="15" s="1"/>
  <c r="D11" i="5"/>
  <c r="B11" i="5" a="1"/>
  <c r="C12" i="5" s="1"/>
  <c r="E13" i="5" s="1"/>
  <c r="D12" i="15" s="1"/>
  <c r="D10" i="5"/>
  <c r="B10" i="5" a="1"/>
  <c r="C11" i="5" s="1"/>
  <c r="E12" i="5" s="1"/>
  <c r="D11" i="15" s="1"/>
  <c r="D9" i="5"/>
  <c r="B9" i="5" a="1"/>
  <c r="C10" i="5" s="1"/>
  <c r="D8" i="5"/>
  <c r="B8" i="5" a="1"/>
  <c r="C9" i="5" s="1"/>
  <c r="D7" i="5"/>
  <c r="B7" i="5" a="1"/>
  <c r="C8" i="5" s="1"/>
  <c r="D6" i="5"/>
  <c r="B6" i="5" a="1"/>
  <c r="C7" i="5" s="1"/>
  <c r="D5" i="5"/>
  <c r="B5" i="5" a="1"/>
  <c r="C6" i="5" s="1"/>
  <c r="D4" i="5"/>
  <c r="B4" i="5" a="1"/>
  <c r="C5" i="5" s="1"/>
  <c r="D3" i="5"/>
  <c r="B3" i="5" a="1"/>
  <c r="C3" i="5" s="1"/>
  <c r="D31" i="4"/>
  <c r="B31" i="4" a="1"/>
  <c r="D30" i="4"/>
  <c r="B30" i="4" a="1"/>
  <c r="C31" i="4" s="1"/>
  <c r="D29" i="4"/>
  <c r="B29" i="4" a="1"/>
  <c r="C30" i="4" s="1"/>
  <c r="D28" i="4"/>
  <c r="B28" i="4" a="1"/>
  <c r="C29" i="4" s="1"/>
  <c r="D27" i="4"/>
  <c r="B27" i="4" a="1"/>
  <c r="C28" i="4" s="1"/>
  <c r="E29" i="4" s="1"/>
  <c r="C28" i="15" s="1"/>
  <c r="D26" i="4"/>
  <c r="B26" i="4" a="1"/>
  <c r="C27" i="4" s="1"/>
  <c r="D25" i="4"/>
  <c r="B25" i="4" a="1"/>
  <c r="C26" i="4" s="1"/>
  <c r="D24" i="4"/>
  <c r="B24" i="4" a="1"/>
  <c r="C25" i="4" s="1"/>
  <c r="D23" i="4"/>
  <c r="B23" i="4" a="1"/>
  <c r="C24" i="4" s="1"/>
  <c r="D22" i="4"/>
  <c r="B22" i="4" a="1"/>
  <c r="C23" i="4" s="1"/>
  <c r="D21" i="4"/>
  <c r="B21" i="4" a="1"/>
  <c r="C22" i="4" s="1"/>
  <c r="D20" i="4"/>
  <c r="B20" i="4" a="1"/>
  <c r="C21" i="4" s="1"/>
  <c r="D19" i="4"/>
  <c r="B19" i="4" a="1"/>
  <c r="C20" i="4" s="1"/>
  <c r="E21" i="4" s="1"/>
  <c r="C20" i="15" s="1"/>
  <c r="D18" i="4"/>
  <c r="B18" i="4" a="1"/>
  <c r="C19" i="4" s="1"/>
  <c r="E20" i="4" s="1"/>
  <c r="C19" i="15" s="1"/>
  <c r="D17" i="4"/>
  <c r="B17" i="4" a="1"/>
  <c r="C18" i="4" s="1"/>
  <c r="E19" i="4" s="1"/>
  <c r="C18" i="15" s="1"/>
  <c r="D16" i="4"/>
  <c r="B16" i="4" a="1"/>
  <c r="C17" i="4" s="1"/>
  <c r="D15" i="4"/>
  <c r="B15" i="4" a="1"/>
  <c r="C16" i="4" s="1"/>
  <c r="E17" i="4" s="1"/>
  <c r="C16" i="15" s="1"/>
  <c r="D14" i="4"/>
  <c r="B14" i="4" a="1"/>
  <c r="C15" i="4" s="1"/>
  <c r="D13" i="4"/>
  <c r="B13" i="4" a="1"/>
  <c r="C14" i="4" s="1"/>
  <c r="D12" i="4"/>
  <c r="B12" i="4" a="1"/>
  <c r="C13" i="4" s="1"/>
  <c r="D11" i="4"/>
  <c r="B11" i="4" a="1"/>
  <c r="C12" i="4" s="1"/>
  <c r="D10" i="4"/>
  <c r="B10" i="4" a="1"/>
  <c r="C11" i="4" s="1"/>
  <c r="E12" i="4" s="1"/>
  <c r="C11" i="15" s="1"/>
  <c r="D9" i="4"/>
  <c r="B9" i="4" a="1"/>
  <c r="C10" i="4" s="1"/>
  <c r="D8" i="4"/>
  <c r="B8" i="4" a="1"/>
  <c r="C9" i="4" s="1"/>
  <c r="E10" i="4" s="1"/>
  <c r="C9" i="15" s="1"/>
  <c r="D7" i="4"/>
  <c r="B7" i="4" a="1"/>
  <c r="C8" i="4" s="1"/>
  <c r="D6" i="4"/>
  <c r="B6" i="4" a="1"/>
  <c r="C7" i="4" s="1"/>
  <c r="D5" i="4"/>
  <c r="B5" i="4" a="1"/>
  <c r="C6" i="4" s="1"/>
  <c r="D4" i="4"/>
  <c r="B4" i="4" a="1"/>
  <c r="C5" i="4" s="1"/>
  <c r="D3" i="4"/>
  <c r="B3" i="4" a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" i="1"/>
  <c r="B31" i="1" a="1"/>
  <c r="B20" i="1" a="1"/>
  <c r="C21" i="1" s="1"/>
  <c r="B21" i="1" a="1"/>
  <c r="C22" i="1" s="1"/>
  <c r="B22" i="1" a="1"/>
  <c r="C23" i="1" s="1"/>
  <c r="B23" i="1" a="1"/>
  <c r="C24" i="1" s="1"/>
  <c r="B24" i="1" a="1"/>
  <c r="C25" i="1" s="1"/>
  <c r="B25" i="1" a="1"/>
  <c r="C26" i="1" s="1"/>
  <c r="B26" i="1" a="1"/>
  <c r="C27" i="1" s="1"/>
  <c r="B27" i="1" a="1"/>
  <c r="C28" i="1" s="1"/>
  <c r="B28" i="1" a="1"/>
  <c r="C29" i="1" s="1"/>
  <c r="B29" i="1" a="1"/>
  <c r="C30" i="1" s="1"/>
  <c r="B30" i="1" a="1"/>
  <c r="C31" i="1" s="1"/>
  <c r="B3" i="1" a="1"/>
  <c r="B4" i="1" a="1"/>
  <c r="C5" i="1" s="1"/>
  <c r="B5" i="1" a="1"/>
  <c r="C6" i="1" s="1"/>
  <c r="B6" i="1" a="1"/>
  <c r="C7" i="1" s="1"/>
  <c r="B7" i="1" a="1"/>
  <c r="C8" i="1" s="1"/>
  <c r="B8" i="1" a="1"/>
  <c r="C9" i="1" s="1"/>
  <c r="B9" i="1" a="1"/>
  <c r="C10" i="1" s="1"/>
  <c r="B10" i="1" a="1"/>
  <c r="C11" i="1" s="1"/>
  <c r="B11" i="1" a="1"/>
  <c r="C12" i="1" s="1"/>
  <c r="B12" i="1" a="1"/>
  <c r="C13" i="1" s="1"/>
  <c r="B13" i="1" a="1"/>
  <c r="C14" i="1" s="1"/>
  <c r="B14" i="1" a="1"/>
  <c r="C15" i="1" s="1"/>
  <c r="B15" i="1" a="1"/>
  <c r="C16" i="1" s="1"/>
  <c r="E17" i="1" s="1"/>
  <c r="B16" i="15" s="1"/>
  <c r="B16" i="1" a="1"/>
  <c r="C17" i="1" s="1"/>
  <c r="E18" i="1" s="1"/>
  <c r="B17" i="15" s="1"/>
  <c r="B17" i="1" a="1"/>
  <c r="C18" i="1" s="1"/>
  <c r="E19" i="1" s="1"/>
  <c r="B18" i="15" s="1"/>
  <c r="B18" i="1" a="1"/>
  <c r="C19" i="1" s="1"/>
  <c r="E20" i="1" s="1"/>
  <c r="B19" i="15" s="1"/>
  <c r="B19" i="1" a="1"/>
  <c r="C20" i="1" s="1"/>
  <c r="E21" i="1" s="1"/>
  <c r="B20" i="15" s="1"/>
  <c r="M30" i="15" l="1"/>
  <c r="M31" i="15"/>
  <c r="L30" i="15"/>
  <c r="L31" i="15"/>
  <c r="K30" i="15"/>
  <c r="K31" i="15"/>
  <c r="J30" i="15"/>
  <c r="J31" i="15"/>
  <c r="I30" i="15"/>
  <c r="I31" i="15"/>
  <c r="E30" i="15"/>
  <c r="E31" i="15"/>
  <c r="D30" i="15"/>
  <c r="D31" i="15"/>
  <c r="E23" i="14"/>
  <c r="M22" i="15" s="1"/>
  <c r="E22" i="14"/>
  <c r="M21" i="15" s="1"/>
  <c r="E21" i="14"/>
  <c r="M20" i="15" s="1"/>
  <c r="E23" i="13"/>
  <c r="L22" i="15" s="1"/>
  <c r="E20" i="10"/>
  <c r="I19" i="15" s="1"/>
  <c r="E20" i="14"/>
  <c r="M19" i="15" s="1"/>
  <c r="E21" i="13"/>
  <c r="L20" i="15" s="1"/>
  <c r="E18" i="14"/>
  <c r="M17" i="15" s="1"/>
  <c r="E24" i="9"/>
  <c r="H23" i="15" s="1"/>
  <c r="E17" i="14"/>
  <c r="M16" i="15" s="1"/>
  <c r="E20" i="13"/>
  <c r="L19" i="15" s="1"/>
  <c r="E23" i="12"/>
  <c r="K22" i="15" s="1"/>
  <c r="E13" i="14"/>
  <c r="M12" i="15" s="1"/>
  <c r="E19" i="14"/>
  <c r="M18" i="15" s="1"/>
  <c r="E22" i="13"/>
  <c r="L21" i="15" s="1"/>
  <c r="E27" i="12"/>
  <c r="K26" i="15" s="1"/>
  <c r="E24" i="12"/>
  <c r="K23" i="15" s="1"/>
  <c r="E25" i="11"/>
  <c r="J24" i="15" s="1"/>
  <c r="E12" i="14"/>
  <c r="M11" i="15" s="1"/>
  <c r="E17" i="13"/>
  <c r="L16" i="15" s="1"/>
  <c r="E20" i="12"/>
  <c r="K19" i="15" s="1"/>
  <c r="E19" i="12"/>
  <c r="K18" i="15" s="1"/>
  <c r="E21" i="11"/>
  <c r="J20" i="15" s="1"/>
  <c r="E16" i="14"/>
  <c r="M15" i="15" s="1"/>
  <c r="E19" i="13"/>
  <c r="L18" i="15" s="1"/>
  <c r="E22" i="11"/>
  <c r="J21" i="15" s="1"/>
  <c r="E13" i="13"/>
  <c r="L12" i="15" s="1"/>
  <c r="E22" i="12"/>
  <c r="K21" i="15" s="1"/>
  <c r="E21" i="12"/>
  <c r="K20" i="15" s="1"/>
  <c r="E20" i="9"/>
  <c r="H19" i="15" s="1"/>
  <c r="E18" i="8"/>
  <c r="G17" i="15" s="1"/>
  <c r="E12" i="13"/>
  <c r="L11" i="15" s="1"/>
  <c r="E18" i="13"/>
  <c r="L17" i="15" s="1"/>
  <c r="E24" i="11"/>
  <c r="J23" i="15" s="1"/>
  <c r="E23" i="11"/>
  <c r="J22" i="15" s="1"/>
  <c r="E21" i="9"/>
  <c r="H20" i="15" s="1"/>
  <c r="E17" i="7"/>
  <c r="F16" i="15" s="1"/>
  <c r="E20" i="11"/>
  <c r="J19" i="15" s="1"/>
  <c r="E19" i="10"/>
  <c r="I18" i="15" s="1"/>
  <c r="E19" i="9"/>
  <c r="H18" i="15" s="1"/>
  <c r="E15" i="13"/>
  <c r="L14" i="15" s="1"/>
  <c r="E8" i="11"/>
  <c r="J7" i="15" s="1"/>
  <c r="E15" i="11"/>
  <c r="J14" i="15" s="1"/>
  <c r="E6" i="9"/>
  <c r="H5" i="15" s="1"/>
  <c r="E7" i="7"/>
  <c r="F6" i="15" s="1"/>
  <c r="E9" i="12"/>
  <c r="K8" i="15" s="1"/>
  <c r="E10" i="11"/>
  <c r="J9" i="15" s="1"/>
  <c r="E9" i="11"/>
  <c r="J8" i="15" s="1"/>
  <c r="E9" i="10"/>
  <c r="I8" i="15" s="1"/>
  <c r="E8" i="10"/>
  <c r="I7" i="15" s="1"/>
  <c r="E7" i="9"/>
  <c r="H6" i="15" s="1"/>
  <c r="E16" i="12"/>
  <c r="K15" i="15" s="1"/>
  <c r="E16" i="11"/>
  <c r="J15" i="15" s="1"/>
  <c r="E10" i="8"/>
  <c r="G9" i="15" s="1"/>
  <c r="E10" i="7"/>
  <c r="F9" i="15" s="1"/>
  <c r="E16" i="10"/>
  <c r="I15" i="15" s="1"/>
  <c r="E11" i="11"/>
  <c r="J10" i="15" s="1"/>
  <c r="E11" i="10"/>
  <c r="I10" i="15" s="1"/>
  <c r="E11" i="9"/>
  <c r="H10" i="15" s="1"/>
  <c r="E9" i="8"/>
  <c r="G8" i="15" s="1"/>
  <c r="E8" i="7"/>
  <c r="F7" i="15" s="1"/>
  <c r="E6" i="6"/>
  <c r="E5" i="15" s="1"/>
  <c r="E15" i="14"/>
  <c r="M14" i="15" s="1"/>
  <c r="E11" i="8"/>
  <c r="G10" i="15" s="1"/>
  <c r="E17" i="11"/>
  <c r="J16" i="15" s="1"/>
  <c r="E17" i="10"/>
  <c r="I16" i="15" s="1"/>
  <c r="E17" i="9"/>
  <c r="H16" i="15" s="1"/>
  <c r="E12" i="10"/>
  <c r="I11" i="15" s="1"/>
  <c r="E8" i="5"/>
  <c r="D7" i="15" s="1"/>
  <c r="E12" i="8"/>
  <c r="G11" i="15" s="1"/>
  <c r="E10" i="12"/>
  <c r="K9" i="15" s="1"/>
  <c r="E13" i="9"/>
  <c r="H12" i="15" s="1"/>
  <c r="E8" i="14"/>
  <c r="M7" i="15" s="1"/>
  <c r="E14" i="14"/>
  <c r="M13" i="15" s="1"/>
  <c r="E16" i="13"/>
  <c r="L15" i="15" s="1"/>
  <c r="E18" i="12"/>
  <c r="K17" i="15" s="1"/>
  <c r="E17" i="12"/>
  <c r="K16" i="15" s="1"/>
  <c r="E18" i="10"/>
  <c r="I17" i="15" s="1"/>
  <c r="E18" i="9"/>
  <c r="H17" i="15" s="1"/>
  <c r="E17" i="8"/>
  <c r="G16" i="15" s="1"/>
  <c r="E16" i="7"/>
  <c r="F15" i="15" s="1"/>
  <c r="E12" i="11"/>
  <c r="J11" i="15" s="1"/>
  <c r="E13" i="10"/>
  <c r="I12" i="15" s="1"/>
  <c r="E14" i="9"/>
  <c r="H13" i="15" s="1"/>
  <c r="E7" i="14"/>
  <c r="M6" i="15" s="1"/>
  <c r="E10" i="13"/>
  <c r="L9" i="15" s="1"/>
  <c r="E11" i="12"/>
  <c r="K10" i="15" s="1"/>
  <c r="E13" i="11"/>
  <c r="J12" i="15" s="1"/>
  <c r="E14" i="10"/>
  <c r="I13" i="15" s="1"/>
  <c r="E15" i="9"/>
  <c r="H14" i="15" s="1"/>
  <c r="E11" i="13"/>
  <c r="L10" i="15" s="1"/>
  <c r="E12" i="12"/>
  <c r="K11" i="15" s="1"/>
  <c r="E14" i="11"/>
  <c r="J13" i="15" s="1"/>
  <c r="E15" i="10"/>
  <c r="I14" i="15" s="1"/>
  <c r="E16" i="9"/>
  <c r="H15" i="15" s="1"/>
  <c r="E15" i="7"/>
  <c r="F14" i="15" s="1"/>
  <c r="E13" i="6"/>
  <c r="E12" i="15" s="1"/>
  <c r="C4" i="14"/>
  <c r="E5" i="14" s="1"/>
  <c r="M4" i="15" s="1"/>
  <c r="C3" i="14"/>
  <c r="E9" i="13"/>
  <c r="L8" i="15" s="1"/>
  <c r="E14" i="12"/>
  <c r="K13" i="15" s="1"/>
  <c r="E13" i="12"/>
  <c r="K12" i="15" s="1"/>
  <c r="E21" i="10"/>
  <c r="I20" i="15" s="1"/>
  <c r="E25" i="9"/>
  <c r="H24" i="15" s="1"/>
  <c r="E28" i="8"/>
  <c r="G27" i="15" s="1"/>
  <c r="E15" i="12"/>
  <c r="K14" i="15" s="1"/>
  <c r="E29" i="8"/>
  <c r="G28" i="15" s="1"/>
  <c r="C4" i="13"/>
  <c r="E5" i="13" s="1"/>
  <c r="L4" i="15" s="1"/>
  <c r="C3" i="13"/>
  <c r="E18" i="11"/>
  <c r="J17" i="15" s="1"/>
  <c r="E24" i="10"/>
  <c r="I23" i="15" s="1"/>
  <c r="E30" i="9"/>
  <c r="H29" i="15" s="1"/>
  <c r="E8" i="9"/>
  <c r="H7" i="15" s="1"/>
  <c r="E13" i="8"/>
  <c r="G12" i="15" s="1"/>
  <c r="E18" i="7"/>
  <c r="F17" i="15" s="1"/>
  <c r="E22" i="6"/>
  <c r="E21" i="15" s="1"/>
  <c r="E19" i="11"/>
  <c r="J18" i="15" s="1"/>
  <c r="E26" i="10"/>
  <c r="I25" i="15" s="1"/>
  <c r="E25" i="10"/>
  <c r="I24" i="15" s="1"/>
  <c r="E14" i="8"/>
  <c r="G13" i="15" s="1"/>
  <c r="E19" i="7"/>
  <c r="F18" i="15" s="1"/>
  <c r="E26" i="5"/>
  <c r="D25" i="15" s="1"/>
  <c r="C4" i="12"/>
  <c r="E5" i="12" s="1"/>
  <c r="K4" i="15" s="1"/>
  <c r="C3" i="12"/>
  <c r="E22" i="10"/>
  <c r="I21" i="15" s="1"/>
  <c r="E31" i="9"/>
  <c r="E11" i="6"/>
  <c r="E10" i="15" s="1"/>
  <c r="E17" i="5"/>
  <c r="D16" i="15" s="1"/>
  <c r="E23" i="10"/>
  <c r="I22" i="15" s="1"/>
  <c r="E12" i="9"/>
  <c r="H11" i="15" s="1"/>
  <c r="E26" i="7"/>
  <c r="F25" i="15" s="1"/>
  <c r="E6" i="7"/>
  <c r="F5" i="15" s="1"/>
  <c r="E12" i="6"/>
  <c r="E11" i="15" s="1"/>
  <c r="E18" i="5"/>
  <c r="D17" i="15" s="1"/>
  <c r="C4" i="11"/>
  <c r="E5" i="11" s="1"/>
  <c r="J4" i="15" s="1"/>
  <c r="C3" i="11"/>
  <c r="E3" i="11" s="1"/>
  <c r="E26" i="9"/>
  <c r="H25" i="15" s="1"/>
  <c r="E9" i="9"/>
  <c r="H8" i="15" s="1"/>
  <c r="E19" i="8"/>
  <c r="G18" i="15" s="1"/>
  <c r="E20" i="6"/>
  <c r="E19" i="15" s="1"/>
  <c r="E29" i="5"/>
  <c r="D28" i="15" s="1"/>
  <c r="E27" i="9"/>
  <c r="H26" i="15" s="1"/>
  <c r="E10" i="9"/>
  <c r="H9" i="15" s="1"/>
  <c r="E21" i="8"/>
  <c r="G20" i="15" s="1"/>
  <c r="E20" i="8"/>
  <c r="G19" i="15" s="1"/>
  <c r="E31" i="7"/>
  <c r="E30" i="7"/>
  <c r="F29" i="15" s="1"/>
  <c r="E21" i="6"/>
  <c r="E20" i="15" s="1"/>
  <c r="E30" i="5"/>
  <c r="D29" i="15" s="1"/>
  <c r="C4" i="10"/>
  <c r="E5" i="10" s="1"/>
  <c r="I4" i="15" s="1"/>
  <c r="C3" i="10"/>
  <c r="E30" i="8"/>
  <c r="G29" i="15" s="1"/>
  <c r="E15" i="8"/>
  <c r="G14" i="15" s="1"/>
  <c r="E28" i="7"/>
  <c r="F27" i="15" s="1"/>
  <c r="E12" i="7"/>
  <c r="F11" i="15" s="1"/>
  <c r="E8" i="6"/>
  <c r="E7" i="15" s="1"/>
  <c r="E19" i="5"/>
  <c r="D18" i="15" s="1"/>
  <c r="E30" i="4"/>
  <c r="C29" i="15" s="1"/>
  <c r="E31" i="8"/>
  <c r="E16" i="8"/>
  <c r="G15" i="15" s="1"/>
  <c r="E29" i="7"/>
  <c r="F28" i="15" s="1"/>
  <c r="E14" i="7"/>
  <c r="F13" i="15" s="1"/>
  <c r="E13" i="7"/>
  <c r="F12" i="15" s="1"/>
  <c r="E25" i="6"/>
  <c r="E24" i="15" s="1"/>
  <c r="E20" i="5"/>
  <c r="D19" i="15" s="1"/>
  <c r="E31" i="4"/>
  <c r="C4" i="9"/>
  <c r="E5" i="9" s="1"/>
  <c r="H4" i="15" s="1"/>
  <c r="C3" i="9"/>
  <c r="E7" i="8"/>
  <c r="G6" i="15" s="1"/>
  <c r="E7" i="4"/>
  <c r="C6" i="15" s="1"/>
  <c r="E22" i="7"/>
  <c r="F21" i="15" s="1"/>
  <c r="E9" i="6"/>
  <c r="E8" i="15" s="1"/>
  <c r="E9" i="5"/>
  <c r="D8" i="15" s="1"/>
  <c r="E22" i="4"/>
  <c r="C21" i="15" s="1"/>
  <c r="E9" i="7"/>
  <c r="F8" i="15" s="1"/>
  <c r="E24" i="6"/>
  <c r="E23" i="15" s="1"/>
  <c r="E10" i="6"/>
  <c r="E9" i="15" s="1"/>
  <c r="E10" i="5"/>
  <c r="D9" i="15" s="1"/>
  <c r="E8" i="4"/>
  <c r="C7" i="15" s="1"/>
  <c r="C4" i="8"/>
  <c r="E5" i="8" s="1"/>
  <c r="G4" i="15" s="1"/>
  <c r="C3" i="8"/>
  <c r="E11" i="7"/>
  <c r="F10" i="15" s="1"/>
  <c r="E29" i="6"/>
  <c r="E28" i="15" s="1"/>
  <c r="E28" i="6"/>
  <c r="E27" i="15" s="1"/>
  <c r="E18" i="6"/>
  <c r="E17" i="15" s="1"/>
  <c r="E17" i="6"/>
  <c r="E16" i="15" s="1"/>
  <c r="E23" i="5"/>
  <c r="D22" i="15" s="1"/>
  <c r="E22" i="5"/>
  <c r="D21" i="15" s="1"/>
  <c r="E11" i="5"/>
  <c r="D10" i="15" s="1"/>
  <c r="E6" i="1"/>
  <c r="B5" i="15" s="1"/>
  <c r="E7" i="1"/>
  <c r="B6" i="15" s="1"/>
  <c r="E8" i="1"/>
  <c r="B7" i="15" s="1"/>
  <c r="E9" i="1"/>
  <c r="B8" i="15" s="1"/>
  <c r="E10" i="1"/>
  <c r="B9" i="15" s="1"/>
  <c r="C4" i="7"/>
  <c r="E5" i="7" s="1"/>
  <c r="F4" i="15" s="1"/>
  <c r="C3" i="7"/>
  <c r="E7" i="6"/>
  <c r="E6" i="15" s="1"/>
  <c r="E16" i="4"/>
  <c r="C15" i="15" s="1"/>
  <c r="E6" i="4"/>
  <c r="C5" i="15" s="1"/>
  <c r="E22" i="1"/>
  <c r="B21" i="15" s="1"/>
  <c r="E16" i="5"/>
  <c r="D15" i="15" s="1"/>
  <c r="E7" i="5"/>
  <c r="D6" i="15" s="1"/>
  <c r="E11" i="1"/>
  <c r="B10" i="15" s="1"/>
  <c r="E12" i="1"/>
  <c r="B11" i="15" s="1"/>
  <c r="E13" i="1"/>
  <c r="B12" i="15" s="1"/>
  <c r="E14" i="1"/>
  <c r="B13" i="15" s="1"/>
  <c r="E15" i="1"/>
  <c r="B14" i="15" s="1"/>
  <c r="E16" i="1"/>
  <c r="B15" i="15" s="1"/>
  <c r="E23" i="1"/>
  <c r="B22" i="15" s="1"/>
  <c r="E15" i="4"/>
  <c r="C14" i="15" s="1"/>
  <c r="E31" i="1"/>
  <c r="E24" i="1"/>
  <c r="B23" i="15" s="1"/>
  <c r="E23" i="6"/>
  <c r="E22" i="15" s="1"/>
  <c r="E14" i="6"/>
  <c r="E13" i="15" s="1"/>
  <c r="E25" i="5"/>
  <c r="D24" i="15" s="1"/>
  <c r="E13" i="4"/>
  <c r="C12" i="15" s="1"/>
  <c r="E25" i="1"/>
  <c r="B24" i="15" s="1"/>
  <c r="E26" i="1"/>
  <c r="B25" i="15" s="1"/>
  <c r="E27" i="1"/>
  <c r="B26" i="15" s="1"/>
  <c r="E28" i="1"/>
  <c r="B27" i="15" s="1"/>
  <c r="E29" i="1"/>
  <c r="B28" i="15" s="1"/>
  <c r="E30" i="1"/>
  <c r="B29" i="15" s="1"/>
  <c r="C3" i="6"/>
  <c r="C4" i="6"/>
  <c r="E5" i="6" s="1"/>
  <c r="E4" i="15" s="1"/>
  <c r="E24" i="5"/>
  <c r="D23" i="15" s="1"/>
  <c r="E15" i="5"/>
  <c r="D14" i="15" s="1"/>
  <c r="E6" i="5"/>
  <c r="D5" i="15" s="1"/>
  <c r="E24" i="4"/>
  <c r="C23" i="15" s="1"/>
  <c r="E14" i="4"/>
  <c r="C13" i="15" s="1"/>
  <c r="C4" i="5"/>
  <c r="E5" i="5" s="1"/>
  <c r="D4" i="15" s="1"/>
  <c r="E26" i="4"/>
  <c r="C25" i="15" s="1"/>
  <c r="E25" i="4"/>
  <c r="C24" i="15" s="1"/>
  <c r="E11" i="4"/>
  <c r="C10" i="15" s="1"/>
  <c r="C3" i="4"/>
  <c r="C4" i="4"/>
  <c r="E5" i="4" s="1"/>
  <c r="C4" i="15" s="1"/>
  <c r="E28" i="4"/>
  <c r="C27" i="15" s="1"/>
  <c r="E27" i="4"/>
  <c r="C26" i="15" s="1"/>
  <c r="E23" i="4"/>
  <c r="C22" i="15" s="1"/>
  <c r="E18" i="4"/>
  <c r="C17" i="15" s="1"/>
  <c r="E9" i="4"/>
  <c r="C8" i="15" s="1"/>
  <c r="C4" i="1"/>
  <c r="E5" i="1" s="1"/>
  <c r="B4" i="15" s="1"/>
  <c r="C3" i="1"/>
  <c r="H30" i="15" l="1"/>
  <c r="H31" i="15"/>
  <c r="G30" i="15"/>
  <c r="G31" i="15"/>
  <c r="F30" i="15"/>
  <c r="F31" i="15"/>
  <c r="C30" i="15"/>
  <c r="C31" i="15"/>
  <c r="B30" i="15"/>
  <c r="N30" i="15" s="1"/>
  <c r="B22" i="16" s="1"/>
  <c r="C22" i="16" s="1"/>
  <c r="B31" i="15"/>
  <c r="N31" i="15" s="1"/>
  <c r="B31" i="16" s="1"/>
  <c r="C31" i="16" s="1"/>
  <c r="N11" i="15"/>
  <c r="B28" i="16" s="1"/>
  <c r="C28" i="16" s="1"/>
  <c r="N12" i="15"/>
  <c r="B8" i="16" s="1"/>
  <c r="C8" i="16" s="1"/>
  <c r="N21" i="15"/>
  <c r="B19" i="16" s="1"/>
  <c r="C19" i="16" s="1"/>
  <c r="N10" i="15"/>
  <c r="B9" i="16" s="1"/>
  <c r="C9" i="16" s="1"/>
  <c r="N20" i="15"/>
  <c r="B4" i="16" s="1"/>
  <c r="C4" i="16" s="1"/>
  <c r="N9" i="15"/>
  <c r="B27" i="16" s="1"/>
  <c r="C27" i="16" s="1"/>
  <c r="N7" i="15"/>
  <c r="B15" i="16" s="1"/>
  <c r="C15" i="16" s="1"/>
  <c r="N13" i="15"/>
  <c r="B11" i="16" s="1"/>
  <c r="C11" i="16" s="1"/>
  <c r="N14" i="15"/>
  <c r="B18" i="16" s="1"/>
  <c r="C18" i="16" s="1"/>
  <c r="N15" i="15"/>
  <c r="B12" i="16" s="1"/>
  <c r="C12" i="16" s="1"/>
  <c r="N6" i="15"/>
  <c r="B30" i="16" s="1"/>
  <c r="C30" i="16" s="1"/>
  <c r="N16" i="15"/>
  <c r="B10" i="16" s="1"/>
  <c r="C10" i="16" s="1"/>
  <c r="N18" i="15"/>
  <c r="B3" i="16" s="1"/>
  <c r="C3" i="16" s="1"/>
  <c r="N19" i="15"/>
  <c r="B14" i="16" s="1"/>
  <c r="C14" i="16" s="1"/>
  <c r="N8" i="15"/>
  <c r="B23" i="16" s="1"/>
  <c r="C23" i="16" s="1"/>
  <c r="N22" i="15"/>
  <c r="B25" i="16" s="1"/>
  <c r="C25" i="16" s="1"/>
  <c r="N23" i="15"/>
  <c r="B21" i="16" s="1"/>
  <c r="C21" i="16" s="1"/>
  <c r="N24" i="15"/>
  <c r="B2" i="16" s="1"/>
  <c r="N25" i="15"/>
  <c r="B26" i="16" s="1"/>
  <c r="C26" i="16" s="1"/>
  <c r="N26" i="15"/>
  <c r="B16" i="16" s="1"/>
  <c r="C16" i="16" s="1"/>
  <c r="N27" i="15"/>
  <c r="B17" i="16" s="1"/>
  <c r="C17" i="16" s="1"/>
  <c r="N28" i="15"/>
  <c r="B29" i="16" s="1"/>
  <c r="C29" i="16" s="1"/>
  <c r="N29" i="15"/>
  <c r="B13" i="16" s="1"/>
  <c r="C13" i="16" s="1"/>
  <c r="N5" i="15"/>
  <c r="B24" i="16" s="1"/>
  <c r="C24" i="16" s="1"/>
  <c r="N17" i="15"/>
  <c r="B20" i="16" s="1"/>
  <c r="C20" i="16" s="1"/>
  <c r="N4" i="15"/>
  <c r="B7" i="16" s="1"/>
  <c r="C7" i="16" s="1"/>
  <c r="E3" i="14"/>
  <c r="M2" i="15" s="1"/>
  <c r="E4" i="14"/>
  <c r="M3" i="15" s="1"/>
  <c r="E3" i="13"/>
  <c r="L2" i="15" s="1"/>
  <c r="E4" i="13"/>
  <c r="L3" i="15" s="1"/>
  <c r="E3" i="12"/>
  <c r="K2" i="15" s="1"/>
  <c r="E4" i="12"/>
  <c r="K3" i="15" s="1"/>
  <c r="J2" i="15"/>
  <c r="E4" i="11"/>
  <c r="J3" i="15" s="1"/>
  <c r="E3" i="10"/>
  <c r="I2" i="15" s="1"/>
  <c r="E4" i="10"/>
  <c r="I3" i="15" s="1"/>
  <c r="E3" i="9"/>
  <c r="H2" i="15" s="1"/>
  <c r="E4" i="9"/>
  <c r="H3" i="15" s="1"/>
  <c r="E3" i="8"/>
  <c r="G2" i="15" s="1"/>
  <c r="E4" i="8"/>
  <c r="G3" i="15" s="1"/>
  <c r="E3" i="7"/>
  <c r="F2" i="15" s="1"/>
  <c r="E4" i="7"/>
  <c r="F3" i="15" s="1"/>
  <c r="E3" i="6"/>
  <c r="E2" i="15" s="1"/>
  <c r="E4" i="6"/>
  <c r="E3" i="15" s="1"/>
  <c r="E3" i="5"/>
  <c r="D2" i="15" s="1"/>
  <c r="E4" i="5"/>
  <c r="D3" i="15" s="1"/>
  <c r="E3" i="4"/>
  <c r="C2" i="15" s="1"/>
  <c r="E4" i="4"/>
  <c r="C3" i="15" s="1"/>
  <c r="E4" i="1"/>
  <c r="B3" i="15" s="1"/>
  <c r="E3" i="1"/>
  <c r="B2" i="15" s="1"/>
  <c r="C2" i="16" l="1"/>
  <c r="N3" i="15"/>
  <c r="B6" i="16" s="1"/>
  <c r="C6" i="16" s="1"/>
  <c r="N2" i="15"/>
  <c r="B5" i="16" s="1"/>
  <c r="C5" i="16" l="1"/>
  <c r="B32" i="16" l="1"/>
  <c r="C32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<sst xmlns="http://schemas.openxmlformats.org/spreadsheetml/2006/main" count="587" uniqueCount="60">
  <si>
    <t>ФИО</t>
  </si>
  <si>
    <t>Должность</t>
  </si>
  <si>
    <t>Оклад</t>
  </si>
  <si>
    <t>Премия</t>
  </si>
  <si>
    <t>Заработна плата</t>
  </si>
  <si>
    <t>Директор</t>
  </si>
  <si>
    <t>Админимстратор</t>
  </si>
  <si>
    <t>Бариста</t>
  </si>
  <si>
    <t>Уборщик</t>
  </si>
  <si>
    <t>Курьер</t>
  </si>
  <si>
    <t>Сотрудник номер 1</t>
  </si>
  <si>
    <t>Сотрудник номер 2</t>
  </si>
  <si>
    <t>Сотрудник номер 3</t>
  </si>
  <si>
    <t>Сотрудник номер 4</t>
  </si>
  <si>
    <t>Сотрудник номер 5</t>
  </si>
  <si>
    <t>Сотрудник номер 6</t>
  </si>
  <si>
    <t>Сотрудник номер 7</t>
  </si>
  <si>
    <t>Сотрудник номер 8</t>
  </si>
  <si>
    <t>Сотрудник номер 9</t>
  </si>
  <si>
    <t>Сотрудник номер 10</t>
  </si>
  <si>
    <t>Сотрудник номер 11</t>
  </si>
  <si>
    <t>Сотрудник номер 12</t>
  </si>
  <si>
    <t>Сотрудник номер 13</t>
  </si>
  <si>
    <t>Сотрудник номер 14</t>
  </si>
  <si>
    <t>Сотрудник номер 15</t>
  </si>
  <si>
    <t>Сотрудник номер 16</t>
  </si>
  <si>
    <t>Сотрудник номер 17</t>
  </si>
  <si>
    <t>Сотрудник номер 18</t>
  </si>
  <si>
    <t>Сотрудник номер 19</t>
  </si>
  <si>
    <t>Сотрудник номер 20</t>
  </si>
  <si>
    <t>Сотрудник номер 21</t>
  </si>
  <si>
    <t>Сотрудник номер 22</t>
  </si>
  <si>
    <t>Сотрудник номер 23</t>
  </si>
  <si>
    <t>Сотрудник номер 24</t>
  </si>
  <si>
    <t>Сотрудник номер 25</t>
  </si>
  <si>
    <t>Сотрудник номер 26</t>
  </si>
  <si>
    <t>Сотрудник номер 27</t>
  </si>
  <si>
    <t>Сотрудник номер 28</t>
  </si>
  <si>
    <t>Сотрудник номер 29</t>
  </si>
  <si>
    <t>Сотрудник номер 30</t>
  </si>
  <si>
    <t>ВПР (Должность; Таблица номер 2; столбец оклада; 0</t>
  </si>
  <si>
    <t>СЛУЧМЕЖДУ (Первое число; Второе число)</t>
  </si>
  <si>
    <t>Оклад + Премия</t>
  </si>
  <si>
    <t>Ниже примеры формулы:
ИНДЕКС($K$2:$K$6; СЛУЧМЕЖДУ(1; СЧЁТЗ($K$2:$K$6)))</t>
  </si>
  <si>
    <t>Февраль</t>
  </si>
  <si>
    <t>Январь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</si>
  <si>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</si>
  <si>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</si>
  <si>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</si>
  <si>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</si>
  <si>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</si>
  <si>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</si>
  <si>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</si>
  <si>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</si>
  <si>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</si>
  <si>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</si>
  <si>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</t>
  </si>
  <si>
    <t>Итоги за год</t>
  </si>
  <si>
    <t>Налоги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</si>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</sst>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 сентябрь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'Итоги за год'!$A$2:$A$6</c:f>
              <c:strCache>
                <c:ptCount val="5"/>
                <c:pt idx="0">
                  <c:v>Сотрудник номер 1</c:v>
                </c:pt>
                <c:pt idx="1">
                  <c:v>Сотрудник номер 2</c:v>
                </c:pt>
                <c:pt idx="2">
                  <c:v>Сотрудник номер 3</c:v>
                </c:pt>
                <c:pt idx="3">
                  <c:v>Сотрудник номер 4</c:v>
                </c:pt>
                <c:pt idx="4">
                  <c:v>Сотрудник номер 5</c:v>
                </c:pt>
              </c:strCache>
            </c:strRef>
          </c:cat>
          <c:val>
            <c:numRef>
              <c:f>'Итоги за год'!$J$2:$J$6</c:f>
              <c:numCache>
                <c:formatCode>General</c:formatCode>
                <c:ptCount val="5"/>
                <c:pt idx="0">
                  <c:v>6375</c:v>
                </c:pt>
                <c:pt idx="1">
                  <c:v>6375</c:v>
                </c:pt>
                <c:pt idx="2">
                  <c:v>5030</c:v>
                </c:pt>
                <c:pt idx="3">
                  <c:v>7220</c:v>
                </c:pt>
                <c:pt idx="4">
                  <c:v>6681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6-4B0C-ABE4-4A2677A79D8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</a:t>
            </a:r>
            <a:r>
              <a:rPr lang="ru-RU" baseline="0"/>
              <a:t> год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'Итоги за год'!$B$11:$M$11</c:f>
              <c:numCache>
                <c:formatCode>General</c:formatCode>
                <c:ptCount val="12"/>
                <c:pt idx="0">
                  <c:v>5100</c:v>
                </c:pt>
                <c:pt idx="1">
                  <c:v>6741</c:v>
                </c:pt>
                <c:pt idx="2">
                  <c:v>5146</c:v>
                </c:pt>
                <c:pt idx="3">
                  <c:v>7492</c:v>
                </c:pt>
                <c:pt idx="4">
                  <c:v>8049</c:v>
                </c:pt>
                <c:pt idx="5">
                  <c:v>5471</c:v>
                </c:pt>
                <c:pt idx="6">
                  <c:v>6371</c:v>
                </c:pt>
                <c:pt idx="7">
                  <c:v>7625</c:v>
                </c:pt>
                <c:pt idx="8">
                  <c:v>4900</c:v>
                </c:pt>
                <c:pt idx="9">
                  <c:v>6476</c:v>
                </c:pt>
                <c:pt idx="10">
                  <c:v>4486</c:v>
                </c:pt>
                <c:pt idx="11">
                  <c:v>6249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9C-4066-91F2-747E33952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088943"/>
        <c:axId val="1665249839"/>
      </c:lineChart>
      <c:catAx>
        <c:axId val="1667088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5249839"/>
        <c:crosses val="autoZero"/>
        <c:auto val="1"/>
        <c:lblAlgn val="ctr"/>
        <c:lblOffset val="100"/>
        <c:noMultiLvlLbl val="0"/>
      </c:catAx>
      <c:valAx>
        <c:axId val="1665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708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5,10,15,20,25,30</a:t>
            </a:r>
          </a:p>
        </c:rich>
      </c:tx>
      <c:layout>
        <c:manualLayout>
          <c:xMode val="edge"/>
          <c:yMode val="edge"/>
          <c:x val="0.2781318897637794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'Итоги за год'!$B$2</c:f>
              <c:numCache>
                <c:formatCode>General</c:formatCode>
                <c:ptCount val="1"/>
                <c:pt idx="0">
                  <c:v>4333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2-4984-B038-95292509F1F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'Итоги за год'!$A$6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2-4984-B038-95292509F1F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'Итоги за год'!$N$6</c:f>
              <c:numCache>
                <c:formatCode>General</c:formatCode>
                <c:ptCount val="1"/>
                <c:pt idx="0">
                  <c:v>76793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82-4984-B038-95292509F1F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'Итоги за год'!$A$11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82-4984-B038-95292509F1F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'Итоги за год'!$N$11</c:f>
              <c:numCache>
                <c:formatCode>General</c:formatCode>
                <c:ptCount val="1"/>
                <c:pt idx="0">
                  <c:v>74106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82-4984-B038-95292509F1F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'Итоги за год'!$A$16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82-4984-B038-95292509F1F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'Итоги за год'!$N$16</c:f>
              <c:numCache>
                <c:formatCode>General</c:formatCode>
                <c:ptCount val="1"/>
                <c:pt idx="0">
                  <c:v>67850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82-4984-B038-95292509F1F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'Итоги за год'!$A$21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82-4984-B038-95292509F1F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'Итоги за год'!$N$21</c:f>
              <c:numCache>
                <c:formatCode>General</c:formatCode>
                <c:ptCount val="1"/>
                <c:pt idx="0">
                  <c:v>74693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82-4984-B038-95292509F1F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'Итоги за год'!$A$26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82-4984-B038-95292509F1F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'Итоги за год'!$N$26</c:f>
              <c:numCache>
                <c:formatCode>General</c:formatCode>
                <c:ptCount val="1"/>
                <c:pt idx="0">
                  <c:v>72670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82-4984-B038-95292509F1F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'Итоги за год'!$A$31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82-4984-B038-95292509F1F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'Итоги за год'!$N$31</c:f>
              <c:numCache>
                <c:formatCode>General</c:formatCode>
                <c:ptCount val="1"/>
                <c:pt idx="0">
                  <c:v>75957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82-4984-B038-95292509F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7871311"/>
        <c:axId val="1665288719"/>
      </c:barChart>
      <c:catAx>
        <c:axId val="16378713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5288719"/>
        <c:crosses val="autoZero"/>
        <c:auto val="1"/>
        <c:lblAlgn val="ctr"/>
        <c:lblOffset val="100"/>
        <c:noMultiLvlLbl val="0"/>
      </c:catAx>
      <c:valAx>
        <c:axId val="166528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787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323850</xdr:colOff>
      <xdr:row>0</xdr:row>
      <xdr:rowOff>185737</xdr:rowOff>
    </xdr:from>
    <xdr:to>
      <xdr:col>19</xdr:col>
      <xdr:colOff>95250</xdr:colOff>
      <xdr:row>11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C00493-FDD1-0699-549C-8E62FC91A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9524</xdr:colOff>
      <xdr:row>1</xdr:row>
      <xdr:rowOff>42862</xdr:rowOff>
    </xdr:from>
    <xdr:to>
      <xdr:col>26</xdr:col>
      <xdr:colOff>476249</xdr:colOff>
      <xdr:row>12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8B24116-347A-53F6-80C3-2725B7A17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400050</xdr:colOff>
      <xdr:row>13</xdr:row>
      <xdr:rowOff>128587</xdr:rowOff>
    </xdr:from>
    <xdr:to>
      <xdr:col>22</xdr:col>
      <xdr:colOff>95250</xdr:colOff>
      <xdr:row>28</xdr:row>
      <xdr:rowOff>14287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E317036-AA3C-701F-8E71-FD9FFD4EA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B120-AA27-4D4E-8580-F4FBA1E9DC44}">
  <dimension ref="A1:L31"/>
  <sheetViews>
    <sheetView workbookViewId="0">
      <selection activeCell="C31" sqref="C31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2" t="s">
        <v>43</v>
      </c>
      <c r="C2" s="2" t="s">
        <v>40</v>
      </c>
      <c r="D2" s="2" t="s">
        <v>41</v>
      </c>
      <c r="E2" s="1" t="s">
        <v>42</v>
      </c>
      <c r="K2" s="1" t="s">
        <v>5</v>
      </c>
      <c r="L2" s="1">
        <v>3400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Курьер</v>
      </c>
      <c r="C3" s="1">
        <f ca="1">VLOOKUP(B3, $K$2:$L$6, 2,0)</f>
        <v>1500</v>
      </c>
      <c r="D3" s="1">
        <f ca="1">RANDBETWEEN(1500,3400)</f>
        <v>2833</v>
      </c>
      <c r="E3" s="1">
        <f ca="1">C3+D3</f>
        <v>4333</v>
      </c>
      <c r="K3" s="1" t="s">
        <v>6</v>
      </c>
      <c r="L3" s="1">
        <v>2999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Админимстратор</v>
      </c>
      <c r="C4" s="1">
        <f t="shared" ref="C4:C31" ca="1" si="0">VLOOKUP(B3, $K$2:$L$6, 2,0)</f>
        <v>1500</v>
      </c>
      <c r="D4" s="1">
        <f t="shared" ref="D4:D31" ca="1" si="1">RANDBETWEEN(1500,3400)</f>
        <v>1759</v>
      </c>
      <c r="E4" s="1">
        <f t="shared" ref="E4:E31" ca="1" si="2">C3+D3</f>
        <v>4333</v>
      </c>
      <c r="K4" s="1" t="s">
        <v>7</v>
      </c>
      <c r="L4" s="1">
        <v>2300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Уборщик</v>
      </c>
      <c r="C5" s="1">
        <f t="shared" ca="1" si="0"/>
        <v>2999</v>
      </c>
      <c r="D5" s="1">
        <f t="shared" ca="1" si="1"/>
        <v>2586</v>
      </c>
      <c r="E5" s="1">
        <f t="shared" ca="1" si="2"/>
        <v>3259</v>
      </c>
      <c r="K5" s="1" t="s">
        <v>8</v>
      </c>
      <c r="L5" s="1">
        <v>1200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Уборщик</v>
      </c>
      <c r="C6" s="1">
        <f t="shared" ca="1" si="0"/>
        <v>1200</v>
      </c>
      <c r="D6" s="1">
        <f t="shared" ca="1" si="1"/>
        <v>2298</v>
      </c>
      <c r="E6" s="1">
        <f t="shared" ca="1" si="2"/>
        <v>5585</v>
      </c>
      <c r="K6" s="1" t="s">
        <v>9</v>
      </c>
      <c r="L6" s="1">
        <v>1500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Админимстратор</v>
      </c>
      <c r="C7" s="1">
        <f t="shared" ca="1" si="0"/>
        <v>1200</v>
      </c>
      <c r="D7" s="1">
        <f t="shared" ca="1" si="1"/>
        <v>2893</v>
      </c>
      <c r="E7" s="1">
        <f t="shared" ca="1" si="2"/>
        <v>3498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Админимстратор</v>
      </c>
      <c r="C8" s="1">
        <f t="shared" ca="1" si="0"/>
        <v>2999</v>
      </c>
      <c r="D8" s="1">
        <f t="shared" ca="1" si="1"/>
        <v>2913</v>
      </c>
      <c r="E8" s="1">
        <f t="shared" ca="1" si="2"/>
        <v>4093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Курьер</v>
      </c>
      <c r="C9" s="1">
        <f t="shared" ca="1" si="0"/>
        <v>2999</v>
      </c>
      <c r="D9" s="1">
        <f t="shared" ca="1" si="1"/>
        <v>2725</v>
      </c>
      <c r="E9" s="1">
        <f t="shared" ca="1" si="2"/>
        <v>5912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Админимстратор</v>
      </c>
      <c r="C10" s="1">
        <f t="shared" ca="1" si="0"/>
        <v>1500</v>
      </c>
      <c r="D10" s="1">
        <f t="shared" ca="1" si="1"/>
        <v>2332</v>
      </c>
      <c r="E10" s="1">
        <f t="shared" ca="1" si="2"/>
        <v>5724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Бариста</v>
      </c>
      <c r="C11" s="1">
        <f t="shared" ca="1" si="0"/>
        <v>2999</v>
      </c>
      <c r="D11" s="1">
        <f t="shared" ca="1" si="1"/>
        <v>2101</v>
      </c>
      <c r="E11" s="1">
        <f t="shared" ca="1" si="2"/>
        <v>3832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Директор</v>
      </c>
      <c r="C12" s="1">
        <f t="shared" ca="1" si="0"/>
        <v>2300</v>
      </c>
      <c r="D12" s="1">
        <f t="shared" ca="1" si="1"/>
        <v>1945</v>
      </c>
      <c r="E12" s="1">
        <f t="shared" ca="1" si="2"/>
        <v>5100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Бариста</v>
      </c>
      <c r="C13" s="1">
        <f t="shared" ca="1" si="0"/>
        <v>3400</v>
      </c>
      <c r="D13" s="1">
        <f t="shared" ca="1" si="1"/>
        <v>1817</v>
      </c>
      <c r="E13" s="1">
        <f t="shared" ca="1" si="2"/>
        <v>4245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Админимстратор</v>
      </c>
      <c r="C14" s="1">
        <f t="shared" ca="1" si="0"/>
        <v>2300</v>
      </c>
      <c r="D14" s="1">
        <f t="shared" ca="1" si="1"/>
        <v>1801</v>
      </c>
      <c r="E14" s="1">
        <f t="shared" ca="1" si="2"/>
        <v>5217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Директор</v>
      </c>
      <c r="C15" s="1">
        <f t="shared" ca="1" si="0"/>
        <v>2999</v>
      </c>
      <c r="D15" s="1">
        <f t="shared" ca="1" si="1"/>
        <v>2886</v>
      </c>
      <c r="E15" s="1">
        <f t="shared" ca="1" si="2"/>
        <v>4101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Уборщик</v>
      </c>
      <c r="C16" s="1">
        <f t="shared" ca="1" si="0"/>
        <v>3400</v>
      </c>
      <c r="D16" s="1">
        <f t="shared" ca="1" si="1"/>
        <v>2676</v>
      </c>
      <c r="E16" s="1">
        <f t="shared" ca="1" si="2"/>
        <v>5885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Уборщик</v>
      </c>
      <c r="C17" s="1">
        <f t="shared" ca="1" si="0"/>
        <v>1200</v>
      </c>
      <c r="D17" s="1">
        <f t="shared" ca="1" si="1"/>
        <v>3278</v>
      </c>
      <c r="E17" s="1">
        <f t="shared" ca="1" si="2"/>
        <v>6076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Уборщик</v>
      </c>
      <c r="C18" s="1">
        <f t="shared" ca="1" si="0"/>
        <v>1200</v>
      </c>
      <c r="D18" s="1">
        <f t="shared" ca="1" si="1"/>
        <v>1504</v>
      </c>
      <c r="E18" s="1">
        <f t="shared" ca="1" si="2"/>
        <v>4478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Админимстратор</v>
      </c>
      <c r="C19" s="1">
        <f t="shared" ca="1" si="0"/>
        <v>1200</v>
      </c>
      <c r="D19" s="1">
        <f t="shared" ca="1" si="1"/>
        <v>3065</v>
      </c>
      <c r="E19" s="1">
        <f t="shared" ca="1" si="2"/>
        <v>2704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Админимстратор</v>
      </c>
      <c r="C20" s="1">
        <f t="shared" ca="1" si="0"/>
        <v>2999</v>
      </c>
      <c r="D20" s="1">
        <f t="shared" ca="1" si="1"/>
        <v>2496</v>
      </c>
      <c r="E20" s="1">
        <f t="shared" ca="1" si="2"/>
        <v>4265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Курьер</v>
      </c>
      <c r="C21" s="1">
        <f t="shared" ca="1" si="0"/>
        <v>2999</v>
      </c>
      <c r="D21" s="1">
        <f t="shared" ca="1" si="1"/>
        <v>2003</v>
      </c>
      <c r="E21" s="1">
        <f t="shared" ca="1" si="2"/>
        <v>5495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Админимстратор</v>
      </c>
      <c r="C22" s="1">
        <f t="shared" ca="1" si="0"/>
        <v>1500</v>
      </c>
      <c r="D22" s="1">
        <f t="shared" ca="1" si="1"/>
        <v>2402</v>
      </c>
      <c r="E22" s="1">
        <f t="shared" ca="1" si="2"/>
        <v>5002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Уборщик</v>
      </c>
      <c r="C23" s="1">
        <f t="shared" ca="1" si="0"/>
        <v>2999</v>
      </c>
      <c r="D23" s="1">
        <f t="shared" ca="1" si="1"/>
        <v>1594</v>
      </c>
      <c r="E23" s="1">
        <f t="shared" ca="1" si="2"/>
        <v>3902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Директор</v>
      </c>
      <c r="C24" s="1">
        <f t="shared" ca="1" si="0"/>
        <v>1200</v>
      </c>
      <c r="D24" s="1">
        <f t="shared" ca="1" si="1"/>
        <v>2292</v>
      </c>
      <c r="E24" s="1">
        <f t="shared" ca="1" si="2"/>
        <v>4593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Бариста</v>
      </c>
      <c r="C25" s="1">
        <f t="shared" ca="1" si="0"/>
        <v>3400</v>
      </c>
      <c r="D25" s="1">
        <f t="shared" ca="1" si="1"/>
        <v>2855</v>
      </c>
      <c r="E25" s="1">
        <f t="shared" ca="1" si="2"/>
        <v>3492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Курьер</v>
      </c>
      <c r="C26" s="1">
        <f t="shared" ca="1" si="0"/>
        <v>2300</v>
      </c>
      <c r="D26" s="1">
        <f t="shared" ca="1" si="1"/>
        <v>3004</v>
      </c>
      <c r="E26" s="1">
        <f t="shared" ca="1" si="2"/>
        <v>6255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Директор</v>
      </c>
      <c r="C27" s="1">
        <f t="shared" ca="1" si="0"/>
        <v>1500</v>
      </c>
      <c r="D27" s="1">
        <f t="shared" ca="1" si="1"/>
        <v>3360</v>
      </c>
      <c r="E27" s="1">
        <f t="shared" ca="1" si="2"/>
        <v>5304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Админимстратор</v>
      </c>
      <c r="C28" s="1">
        <f t="shared" ca="1" si="0"/>
        <v>3400</v>
      </c>
      <c r="D28" s="1">
        <f t="shared" ca="1" si="1"/>
        <v>2309</v>
      </c>
      <c r="E28" s="1">
        <f t="shared" ca="1" si="2"/>
        <v>4860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Курьер</v>
      </c>
      <c r="C29" s="1">
        <f t="shared" ca="1" si="0"/>
        <v>2999</v>
      </c>
      <c r="D29" s="1">
        <f t="shared" ca="1" si="1"/>
        <v>1527</v>
      </c>
      <c r="E29" s="1">
        <f t="shared" ca="1" si="2"/>
        <v>5709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Уборщик</v>
      </c>
      <c r="C30" s="1">
        <f t="shared" ca="1" si="0"/>
        <v>1500</v>
      </c>
      <c r="D30" s="1">
        <f t="shared" ca="1" si="1"/>
        <v>2731</v>
      </c>
      <c r="E30" s="1">
        <f t="shared" ca="1" si="2"/>
        <v>4526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Курьер</v>
      </c>
      <c r="C31" s="1">
        <f t="shared" ca="1" si="0"/>
        <v>1200</v>
      </c>
      <c r="D31" s="1">
        <f t="shared" ca="1" si="1"/>
        <v>2584</v>
      </c>
      <c r="E31" s="1">
        <f t="shared" ca="1" si="2"/>
        <v>4231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4DB2-A1A2-44CD-8D24-3358F2826176}">
  <dimension ref="A1:L31"/>
  <sheetViews>
    <sheetView workbookViewId="0">
      <selection activeCell="E3" sqref="E2:E3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2" t="s">
        <v>9</v>
      </c>
      <c r="C2" s="1">
        <f>VLOOKUP(B2, $K$2:$L$6, 2,0)</f>
        <v>6500</v>
      </c>
      <c r="D2" s="1">
        <f ca="1">RANDBETWEEN(1500,3400)</f>
        <v>2562</v>
      </c>
      <c r="E2" s="1">
        <f ca="1">C2+D2</f>
        <v>9062</v>
      </c>
      <c r="K2" s="1" t="s">
        <v>5</v>
      </c>
      <c r="L2" s="1">
        <v>4800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Курьер</v>
      </c>
      <c r="C3" s="1">
        <f ca="1">VLOOKUP(B3, $K$2:$L$6, 2,0)</f>
        <v>6500</v>
      </c>
      <c r="D3" s="1">
        <f ca="1">RANDBETWEEN(1500,3400)</f>
        <v>2725</v>
      </c>
      <c r="E3" s="1">
        <f ca="1">C3+D3</f>
        <v>9225</v>
      </c>
      <c r="K3" s="1" t="s">
        <v>6</v>
      </c>
      <c r="L3" s="1">
        <v>4999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Бариста</v>
      </c>
      <c r="C4" s="1">
        <f t="shared" ref="C4:C31" ca="1" si="0">VLOOKUP(B3, $K$2:$L$6, 2,0)</f>
        <v>6500</v>
      </c>
      <c r="D4" s="1">
        <f t="shared" ref="D4:D31" ca="1" si="1">RANDBETWEEN(1500,3400)</f>
        <v>3157</v>
      </c>
      <c r="E4" s="1">
        <f t="shared" ref="E4:E31" ca="1" si="2">C3+D3</f>
        <v>9225</v>
      </c>
      <c r="K4" s="1" t="s">
        <v>7</v>
      </c>
      <c r="L4" s="1">
        <v>7300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Курьер</v>
      </c>
      <c r="C5" s="1">
        <f t="shared" ca="1" si="0"/>
        <v>7300</v>
      </c>
      <c r="D5" s="1">
        <f t="shared" ca="1" si="1"/>
        <v>1998</v>
      </c>
      <c r="E5" s="1">
        <f t="shared" ca="1" si="2"/>
        <v>9657</v>
      </c>
      <c r="K5" s="1" t="s">
        <v>8</v>
      </c>
      <c r="L5" s="1">
        <v>5200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Админимстратор</v>
      </c>
      <c r="C6" s="1">
        <f t="shared" ca="1" si="0"/>
        <v>6500</v>
      </c>
      <c r="D6" s="1">
        <f t="shared" ca="1" si="1"/>
        <v>2667</v>
      </c>
      <c r="E6" s="1">
        <f t="shared" ca="1" si="2"/>
        <v>9298</v>
      </c>
      <c r="K6" s="1" t="s">
        <v>9</v>
      </c>
      <c r="L6" s="1">
        <v>6500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Бариста</v>
      </c>
      <c r="C7" s="1">
        <f t="shared" ca="1" si="0"/>
        <v>4999</v>
      </c>
      <c r="D7" s="1">
        <f t="shared" ca="1" si="1"/>
        <v>2152</v>
      </c>
      <c r="E7" s="1">
        <f t="shared" ca="1" si="2"/>
        <v>9167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Админимстратор</v>
      </c>
      <c r="C8" s="1">
        <f t="shared" ca="1" si="0"/>
        <v>7300</v>
      </c>
      <c r="D8" s="1">
        <f t="shared" ca="1" si="1"/>
        <v>3022</v>
      </c>
      <c r="E8" s="1">
        <f t="shared" ca="1" si="2"/>
        <v>7151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Директор</v>
      </c>
      <c r="C9" s="1">
        <f t="shared" ca="1" si="0"/>
        <v>4999</v>
      </c>
      <c r="D9" s="1">
        <f t="shared" ca="1" si="1"/>
        <v>3335</v>
      </c>
      <c r="E9" s="1">
        <f t="shared" ca="1" si="2"/>
        <v>10322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Директор</v>
      </c>
      <c r="C10" s="1">
        <f t="shared" ca="1" si="0"/>
        <v>4800</v>
      </c>
      <c r="D10" s="1">
        <f t="shared" ca="1" si="1"/>
        <v>3349</v>
      </c>
      <c r="E10" s="1">
        <f t="shared" ca="1" si="2"/>
        <v>8334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Курьер</v>
      </c>
      <c r="C11" s="1">
        <f t="shared" ca="1" si="0"/>
        <v>4800</v>
      </c>
      <c r="D11" s="1">
        <f t="shared" ca="1" si="1"/>
        <v>1941</v>
      </c>
      <c r="E11" s="1">
        <f t="shared" ca="1" si="2"/>
        <v>8149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Директор</v>
      </c>
      <c r="C12" s="1">
        <f t="shared" ca="1" si="0"/>
        <v>6500</v>
      </c>
      <c r="D12" s="1">
        <f t="shared" ca="1" si="1"/>
        <v>3392</v>
      </c>
      <c r="E12" s="1">
        <f t="shared" ca="1" si="2"/>
        <v>6741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Админимстратор</v>
      </c>
      <c r="C13" s="1">
        <f t="shared" ca="1" si="0"/>
        <v>4800</v>
      </c>
      <c r="D13" s="1">
        <f t="shared" ca="1" si="1"/>
        <v>1949</v>
      </c>
      <c r="E13" s="1">
        <f t="shared" ca="1" si="2"/>
        <v>9892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Уборщик</v>
      </c>
      <c r="C14" s="1">
        <f t="shared" ca="1" si="0"/>
        <v>4999</v>
      </c>
      <c r="D14" s="1">
        <f t="shared" ca="1" si="1"/>
        <v>2269</v>
      </c>
      <c r="E14" s="1">
        <f t="shared" ca="1" si="2"/>
        <v>6749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Админимстратор</v>
      </c>
      <c r="C15" s="1">
        <f t="shared" ca="1" si="0"/>
        <v>5200</v>
      </c>
      <c r="D15" s="1">
        <f t="shared" ca="1" si="1"/>
        <v>2016</v>
      </c>
      <c r="E15" s="1">
        <f t="shared" ca="1" si="2"/>
        <v>7268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Админимстратор</v>
      </c>
      <c r="C16" s="1">
        <f t="shared" ca="1" si="0"/>
        <v>4999</v>
      </c>
      <c r="D16" s="1">
        <f t="shared" ca="1" si="1"/>
        <v>2157</v>
      </c>
      <c r="E16" s="1">
        <f t="shared" ca="1" si="2"/>
        <v>7216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Уборщик</v>
      </c>
      <c r="C17" s="1">
        <f t="shared" ca="1" si="0"/>
        <v>4999</v>
      </c>
      <c r="D17" s="1">
        <f t="shared" ca="1" si="1"/>
        <v>3105</v>
      </c>
      <c r="E17" s="1">
        <f t="shared" ca="1" si="2"/>
        <v>7156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Курьер</v>
      </c>
      <c r="C18" s="1">
        <f t="shared" ca="1" si="0"/>
        <v>5200</v>
      </c>
      <c r="D18" s="1">
        <f t="shared" ca="1" si="1"/>
        <v>1539</v>
      </c>
      <c r="E18" s="1">
        <f t="shared" ca="1" si="2"/>
        <v>8104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Уборщик</v>
      </c>
      <c r="C19" s="1">
        <f t="shared" ca="1" si="0"/>
        <v>6500</v>
      </c>
      <c r="D19" s="1">
        <f t="shared" ca="1" si="1"/>
        <v>1661</v>
      </c>
      <c r="E19" s="1">
        <f t="shared" ca="1" si="2"/>
        <v>6739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Директор</v>
      </c>
      <c r="C20" s="1">
        <f t="shared" ca="1" si="0"/>
        <v>5200</v>
      </c>
      <c r="D20" s="1">
        <f t="shared" ca="1" si="1"/>
        <v>2085</v>
      </c>
      <c r="E20" s="1">
        <f t="shared" ca="1" si="2"/>
        <v>8161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Курьер</v>
      </c>
      <c r="C21" s="1">
        <f t="shared" ca="1" si="0"/>
        <v>4800</v>
      </c>
      <c r="D21" s="1">
        <f t="shared" ca="1" si="1"/>
        <v>2052</v>
      </c>
      <c r="E21" s="1">
        <f t="shared" ca="1" si="2"/>
        <v>7285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Директор</v>
      </c>
      <c r="C22" s="1">
        <f t="shared" ca="1" si="0"/>
        <v>6500</v>
      </c>
      <c r="D22" s="1">
        <f t="shared" ca="1" si="1"/>
        <v>1733</v>
      </c>
      <c r="E22" s="1">
        <f t="shared" ca="1" si="2"/>
        <v>6852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Уборщик</v>
      </c>
      <c r="C23" s="1">
        <f t="shared" ca="1" si="0"/>
        <v>4800</v>
      </c>
      <c r="D23" s="1">
        <f t="shared" ca="1" si="1"/>
        <v>3022</v>
      </c>
      <c r="E23" s="1">
        <f t="shared" ca="1" si="2"/>
        <v>8233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Уборщик</v>
      </c>
      <c r="C24" s="1">
        <f t="shared" ca="1" si="0"/>
        <v>5200</v>
      </c>
      <c r="D24" s="1">
        <f t="shared" ca="1" si="1"/>
        <v>2489</v>
      </c>
      <c r="E24" s="1">
        <f t="shared" ca="1" si="2"/>
        <v>7822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Курьер</v>
      </c>
      <c r="C25" s="1">
        <f t="shared" ca="1" si="0"/>
        <v>5200</v>
      </c>
      <c r="D25" s="1">
        <f t="shared" ca="1" si="1"/>
        <v>3297</v>
      </c>
      <c r="E25" s="1">
        <f t="shared" ca="1" si="2"/>
        <v>7689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Директор</v>
      </c>
      <c r="C26" s="1">
        <f t="shared" ca="1" si="0"/>
        <v>6500</v>
      </c>
      <c r="D26" s="1">
        <f t="shared" ca="1" si="1"/>
        <v>2704</v>
      </c>
      <c r="E26" s="1">
        <f t="shared" ca="1" si="2"/>
        <v>8497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Директор</v>
      </c>
      <c r="C27" s="1">
        <f t="shared" ca="1" si="0"/>
        <v>4800</v>
      </c>
      <c r="D27" s="1">
        <f t="shared" ca="1" si="1"/>
        <v>2017</v>
      </c>
      <c r="E27" s="1">
        <f t="shared" ca="1" si="2"/>
        <v>9204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Директор</v>
      </c>
      <c r="C28" s="1">
        <f t="shared" ca="1" si="0"/>
        <v>4800</v>
      </c>
      <c r="D28" s="1">
        <f t="shared" ca="1" si="1"/>
        <v>2603</v>
      </c>
      <c r="E28" s="1">
        <f t="shared" ca="1" si="2"/>
        <v>6817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Курьер</v>
      </c>
      <c r="C29" s="1">
        <f t="shared" ca="1" si="0"/>
        <v>4800</v>
      </c>
      <c r="D29" s="1">
        <f t="shared" ca="1" si="1"/>
        <v>2567</v>
      </c>
      <c r="E29" s="1">
        <f t="shared" ca="1" si="2"/>
        <v>7403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Админимстратор</v>
      </c>
      <c r="C30" s="1">
        <f t="shared" ca="1" si="0"/>
        <v>6500</v>
      </c>
      <c r="D30" s="1">
        <f t="shared" ca="1" si="1"/>
        <v>2221</v>
      </c>
      <c r="E30" s="1">
        <f t="shared" ca="1" si="2"/>
        <v>7367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Админимстратор</v>
      </c>
      <c r="C31" s="1">
        <f t="shared" ca="1" si="0"/>
        <v>4999</v>
      </c>
      <c r="D31" s="1">
        <f t="shared" ca="1" si="1"/>
        <v>2085</v>
      </c>
      <c r="E31" s="1">
        <f t="shared" ca="1" si="2"/>
        <v>8721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022F-6022-44F2-96B5-A3F7BADDE4DB}">
  <dimension ref="A1:L31"/>
  <sheetViews>
    <sheetView workbookViewId="0">
      <selection activeCell="E3" sqref="E2:E3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1" t="str" cm="1">
        <f t="array" aca="1" ref="B2" ca="1">INDEX($K$2:$K$6, RANDBETWEEN(1, COUNTA($K$2:$K$6)))</f>
        <v>Директор</v>
      </c>
      <c r="C2" s="1">
        <f ca="1">VLOOKUP(B2, $K$2:$L$6, 2,0)</f>
        <v>4500</v>
      </c>
      <c r="D2" s="1">
        <f ca="1">RANDBETWEEN(1500,3400)</f>
        <v>1961</v>
      </c>
      <c r="E2" s="1">
        <f ca="1">C2+D2</f>
        <v>6461</v>
      </c>
      <c r="K2" s="1" t="s">
        <v>5</v>
      </c>
      <c r="L2" s="1">
        <v>4500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Директор</v>
      </c>
      <c r="C3" s="1">
        <f ca="1">VLOOKUP(B3, $K$2:$L$6, 2,0)</f>
        <v>4500</v>
      </c>
      <c r="D3" s="1">
        <f ca="1">RANDBETWEEN(1500,3400)</f>
        <v>2680</v>
      </c>
      <c r="E3" s="1">
        <f ca="1">C3+D3</f>
        <v>7180</v>
      </c>
      <c r="K3" s="1" t="s">
        <v>6</v>
      </c>
      <c r="L3" s="1">
        <v>3600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Бариста</v>
      </c>
      <c r="C4" s="1">
        <f t="shared" ref="C4:C31" ca="1" si="0">VLOOKUP(B3, $K$2:$L$6, 2,0)</f>
        <v>4500</v>
      </c>
      <c r="D4" s="1">
        <f t="shared" ref="D4:D31" ca="1" si="1">RANDBETWEEN(1500,3400)</f>
        <v>2141</v>
      </c>
      <c r="E4" s="1">
        <f t="shared" ref="E4:E31" ca="1" si="2">C3+D3</f>
        <v>7180</v>
      </c>
      <c r="K4" s="1" t="s">
        <v>7</v>
      </c>
      <c r="L4" s="1">
        <v>4540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Курьер</v>
      </c>
      <c r="C5" s="1">
        <f t="shared" ca="1" si="0"/>
        <v>4540</v>
      </c>
      <c r="D5" s="1">
        <f t="shared" ca="1" si="1"/>
        <v>2841</v>
      </c>
      <c r="E5" s="1">
        <f t="shared" ca="1" si="2"/>
        <v>6641</v>
      </c>
      <c r="K5" s="1" t="s">
        <v>8</v>
      </c>
      <c r="L5" s="1">
        <v>3450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Уборщик</v>
      </c>
      <c r="C6" s="1">
        <f t="shared" ca="1" si="0"/>
        <v>3300</v>
      </c>
      <c r="D6" s="1">
        <f t="shared" ca="1" si="1"/>
        <v>2516</v>
      </c>
      <c r="E6" s="1">
        <f t="shared" ca="1" si="2"/>
        <v>7381</v>
      </c>
      <c r="K6" s="1" t="s">
        <v>9</v>
      </c>
      <c r="L6" s="1">
        <v>3300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Курьер</v>
      </c>
      <c r="C7" s="1">
        <f t="shared" ca="1" si="0"/>
        <v>3450</v>
      </c>
      <c r="D7" s="1">
        <f t="shared" ca="1" si="1"/>
        <v>2273</v>
      </c>
      <c r="E7" s="1">
        <f t="shared" ca="1" si="2"/>
        <v>5816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Бариста</v>
      </c>
      <c r="C8" s="1">
        <f t="shared" ca="1" si="0"/>
        <v>3300</v>
      </c>
      <c r="D8" s="1">
        <f t="shared" ca="1" si="1"/>
        <v>1568</v>
      </c>
      <c r="E8" s="1">
        <f t="shared" ca="1" si="2"/>
        <v>5723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Директор</v>
      </c>
      <c r="C9" s="1">
        <f t="shared" ca="1" si="0"/>
        <v>4540</v>
      </c>
      <c r="D9" s="1">
        <f t="shared" ca="1" si="1"/>
        <v>3313</v>
      </c>
      <c r="E9" s="1">
        <f t="shared" ca="1" si="2"/>
        <v>4868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Уборщик</v>
      </c>
      <c r="C10" s="1">
        <f t="shared" ca="1" si="0"/>
        <v>4500</v>
      </c>
      <c r="D10" s="1">
        <f t="shared" ca="1" si="1"/>
        <v>1650</v>
      </c>
      <c r="E10" s="1">
        <f t="shared" ca="1" si="2"/>
        <v>7853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Уборщик</v>
      </c>
      <c r="C11" s="1">
        <f t="shared" ca="1" si="0"/>
        <v>3450</v>
      </c>
      <c r="D11" s="1">
        <f t="shared" ca="1" si="1"/>
        <v>1696</v>
      </c>
      <c r="E11" s="1">
        <f t="shared" ca="1" si="2"/>
        <v>6150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Бариста</v>
      </c>
      <c r="C12" s="1">
        <f t="shared" ca="1" si="0"/>
        <v>3450</v>
      </c>
      <c r="D12" s="1">
        <f t="shared" ca="1" si="1"/>
        <v>3264</v>
      </c>
      <c r="E12" s="1">
        <f t="shared" ca="1" si="2"/>
        <v>5146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Уборщик</v>
      </c>
      <c r="C13" s="1">
        <f t="shared" ca="1" si="0"/>
        <v>4540</v>
      </c>
      <c r="D13" s="1">
        <f t="shared" ca="1" si="1"/>
        <v>1696</v>
      </c>
      <c r="E13" s="1">
        <f t="shared" ca="1" si="2"/>
        <v>6714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Админимстратор</v>
      </c>
      <c r="C14" s="1">
        <f t="shared" ca="1" si="0"/>
        <v>3450</v>
      </c>
      <c r="D14" s="1">
        <f t="shared" ca="1" si="1"/>
        <v>3111</v>
      </c>
      <c r="E14" s="1">
        <f t="shared" ca="1" si="2"/>
        <v>6236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Курьер</v>
      </c>
      <c r="C15" s="1">
        <f t="shared" ca="1" si="0"/>
        <v>3600</v>
      </c>
      <c r="D15" s="1">
        <f t="shared" ca="1" si="1"/>
        <v>1981</v>
      </c>
      <c r="E15" s="1">
        <f t="shared" ca="1" si="2"/>
        <v>6561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Админимстратор</v>
      </c>
      <c r="C16" s="1">
        <f t="shared" ca="1" si="0"/>
        <v>3300</v>
      </c>
      <c r="D16" s="1">
        <f t="shared" ca="1" si="1"/>
        <v>3333</v>
      </c>
      <c r="E16" s="1">
        <f t="shared" ca="1" si="2"/>
        <v>5581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Директор</v>
      </c>
      <c r="C17" s="1">
        <f t="shared" ca="1" si="0"/>
        <v>3600</v>
      </c>
      <c r="D17" s="1">
        <f t="shared" ca="1" si="1"/>
        <v>3040</v>
      </c>
      <c r="E17" s="1">
        <f t="shared" ca="1" si="2"/>
        <v>6633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Уборщик</v>
      </c>
      <c r="C18" s="1">
        <f t="shared" ca="1" si="0"/>
        <v>4500</v>
      </c>
      <c r="D18" s="1">
        <f t="shared" ca="1" si="1"/>
        <v>3123</v>
      </c>
      <c r="E18" s="1">
        <f t="shared" ca="1" si="2"/>
        <v>6640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Курьер</v>
      </c>
      <c r="C19" s="1">
        <f t="shared" ca="1" si="0"/>
        <v>3450</v>
      </c>
      <c r="D19" s="1">
        <f t="shared" ca="1" si="1"/>
        <v>1684</v>
      </c>
      <c r="E19" s="1">
        <f t="shared" ca="1" si="2"/>
        <v>7623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Уборщик</v>
      </c>
      <c r="C20" s="1">
        <f t="shared" ca="1" si="0"/>
        <v>3300</v>
      </c>
      <c r="D20" s="1">
        <f t="shared" ca="1" si="1"/>
        <v>3058</v>
      </c>
      <c r="E20" s="1">
        <f t="shared" ca="1" si="2"/>
        <v>5134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Уборщик</v>
      </c>
      <c r="C21" s="1">
        <f t="shared" ca="1" si="0"/>
        <v>3450</v>
      </c>
      <c r="D21" s="1">
        <f t="shared" ca="1" si="1"/>
        <v>1611</v>
      </c>
      <c r="E21" s="1">
        <f t="shared" ca="1" si="2"/>
        <v>6358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Директор</v>
      </c>
      <c r="C22" s="1">
        <f t="shared" ca="1" si="0"/>
        <v>3450</v>
      </c>
      <c r="D22" s="1">
        <f t="shared" ca="1" si="1"/>
        <v>3106</v>
      </c>
      <c r="E22" s="1">
        <f t="shared" ca="1" si="2"/>
        <v>5061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Директор</v>
      </c>
      <c r="C23" s="1">
        <f t="shared" ca="1" si="0"/>
        <v>4500</v>
      </c>
      <c r="D23" s="1">
        <f t="shared" ca="1" si="1"/>
        <v>3077</v>
      </c>
      <c r="E23" s="1">
        <f t="shared" ca="1" si="2"/>
        <v>6556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Директор</v>
      </c>
      <c r="C24" s="1">
        <f t="shared" ca="1" si="0"/>
        <v>4500</v>
      </c>
      <c r="D24" s="1">
        <f t="shared" ca="1" si="1"/>
        <v>3298</v>
      </c>
      <c r="E24" s="1">
        <f t="shared" ca="1" si="2"/>
        <v>7577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Директор</v>
      </c>
      <c r="C25" s="1">
        <f t="shared" ca="1" si="0"/>
        <v>4500</v>
      </c>
      <c r="D25" s="1">
        <f t="shared" ca="1" si="1"/>
        <v>1812</v>
      </c>
      <c r="E25" s="1">
        <f t="shared" ca="1" si="2"/>
        <v>7798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Админимстратор</v>
      </c>
      <c r="C26" s="1">
        <f t="shared" ca="1" si="0"/>
        <v>4500</v>
      </c>
      <c r="D26" s="1">
        <f t="shared" ca="1" si="1"/>
        <v>3120</v>
      </c>
      <c r="E26" s="1">
        <f t="shared" ca="1" si="2"/>
        <v>6312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Админимстратор</v>
      </c>
      <c r="C27" s="1">
        <f t="shared" ca="1" si="0"/>
        <v>3600</v>
      </c>
      <c r="D27" s="1">
        <f t="shared" ca="1" si="1"/>
        <v>2938</v>
      </c>
      <c r="E27" s="1">
        <f t="shared" ca="1" si="2"/>
        <v>7620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Уборщик</v>
      </c>
      <c r="C28" s="1">
        <f t="shared" ca="1" si="0"/>
        <v>3600</v>
      </c>
      <c r="D28" s="1">
        <f t="shared" ca="1" si="1"/>
        <v>1520</v>
      </c>
      <c r="E28" s="1">
        <f t="shared" ca="1" si="2"/>
        <v>6538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Уборщик</v>
      </c>
      <c r="C29" s="1">
        <f t="shared" ca="1" si="0"/>
        <v>3450</v>
      </c>
      <c r="D29" s="1">
        <f t="shared" ca="1" si="1"/>
        <v>2810</v>
      </c>
      <c r="E29" s="1">
        <f t="shared" ca="1" si="2"/>
        <v>5120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Уборщик</v>
      </c>
      <c r="C30" s="1">
        <f t="shared" ca="1" si="0"/>
        <v>3450</v>
      </c>
      <c r="D30" s="1">
        <f t="shared" ca="1" si="1"/>
        <v>1872</v>
      </c>
      <c r="E30" s="1">
        <f t="shared" ca="1" si="2"/>
        <v>6260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Админимстратор</v>
      </c>
      <c r="C31" s="1">
        <f t="shared" ca="1" si="0"/>
        <v>3450</v>
      </c>
      <c r="D31" s="1">
        <f t="shared" ca="1" si="1"/>
        <v>2442</v>
      </c>
      <c r="E31" s="1">
        <f t="shared" ca="1" si="2"/>
        <v>5322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19CE-3CFF-4CCF-A460-A53A6921E84B}">
  <dimension ref="A1:L31"/>
  <sheetViews>
    <sheetView workbookViewId="0">
      <selection activeCell="B35" sqref="B35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1" t="str" cm="1">
        <f t="array" aca="1" ref="B2" ca="1">INDEX($K$2:$K$6, RANDBETWEEN(1, COUNTA($K$2:$K$6)))</f>
        <v>Уборщик</v>
      </c>
      <c r="C2" s="1">
        <f ca="1">VLOOKUP(B2, $K$2:$L$6, 2,0)</f>
        <v>3257</v>
      </c>
      <c r="D2" s="1">
        <f ca="1">RANDBETWEEN(1500,3400)</f>
        <v>1570</v>
      </c>
      <c r="E2" s="1">
        <f ca="1">C2+D2</f>
        <v>4827</v>
      </c>
      <c r="K2" s="1" t="s">
        <v>5</v>
      </c>
      <c r="L2" s="1">
        <v>5000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Админимстратор</v>
      </c>
      <c r="C3" s="1">
        <f ca="1">VLOOKUP(B3, $K$2:$L$6, 2,0)</f>
        <v>3500</v>
      </c>
      <c r="D3" s="1">
        <f ca="1">RANDBETWEEN(1500,3400)</f>
        <v>2093</v>
      </c>
      <c r="E3" s="1">
        <f ca="1">C3+D3</f>
        <v>5593</v>
      </c>
      <c r="K3" s="1" t="s">
        <v>6</v>
      </c>
      <c r="L3" s="1">
        <v>3500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Курьер</v>
      </c>
      <c r="C4" s="1">
        <f t="shared" ref="C4:C31" ca="1" si="0">VLOOKUP(B3, $K$2:$L$6, 2,0)</f>
        <v>3500</v>
      </c>
      <c r="D4" s="1">
        <f t="shared" ref="D4:D31" ca="1" si="1">RANDBETWEEN(1500,3400)</f>
        <v>2773</v>
      </c>
      <c r="E4" s="1">
        <f t="shared" ref="E4:E31" ca="1" si="2">C3+D3</f>
        <v>5593</v>
      </c>
      <c r="K4" s="1" t="s">
        <v>7</v>
      </c>
      <c r="L4" s="1">
        <v>3400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Директор</v>
      </c>
      <c r="C5" s="1">
        <f t="shared" ca="1" si="0"/>
        <v>3789</v>
      </c>
      <c r="D5" s="1">
        <f t="shared" ca="1" si="1"/>
        <v>3153</v>
      </c>
      <c r="E5" s="1">
        <f t="shared" ca="1" si="2"/>
        <v>6273</v>
      </c>
      <c r="K5" s="1" t="s">
        <v>8</v>
      </c>
      <c r="L5" s="1">
        <v>3257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Курьер</v>
      </c>
      <c r="C6" s="1">
        <f t="shared" ca="1" si="0"/>
        <v>5000</v>
      </c>
      <c r="D6" s="1">
        <f t="shared" ca="1" si="1"/>
        <v>1906</v>
      </c>
      <c r="E6" s="1">
        <f t="shared" ca="1" si="2"/>
        <v>6942</v>
      </c>
      <c r="K6" s="1" t="s">
        <v>9</v>
      </c>
      <c r="L6" s="1">
        <v>3789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Директор</v>
      </c>
      <c r="C7" s="1">
        <f t="shared" ca="1" si="0"/>
        <v>3789</v>
      </c>
      <c r="D7" s="1">
        <f t="shared" ca="1" si="1"/>
        <v>1615</v>
      </c>
      <c r="E7" s="1">
        <f t="shared" ca="1" si="2"/>
        <v>6906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Директор</v>
      </c>
      <c r="C8" s="1">
        <f t="shared" ca="1" si="0"/>
        <v>5000</v>
      </c>
      <c r="D8" s="1">
        <f t="shared" ca="1" si="1"/>
        <v>2286</v>
      </c>
      <c r="E8" s="1">
        <f t="shared" ca="1" si="2"/>
        <v>5404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Директор</v>
      </c>
      <c r="C9" s="1">
        <f t="shared" ca="1" si="0"/>
        <v>5000</v>
      </c>
      <c r="D9" s="1">
        <f t="shared" ca="1" si="1"/>
        <v>3174</v>
      </c>
      <c r="E9" s="1">
        <f t="shared" ca="1" si="2"/>
        <v>7286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Директор</v>
      </c>
      <c r="C10" s="1">
        <f t="shared" ca="1" si="0"/>
        <v>5000</v>
      </c>
      <c r="D10" s="1">
        <f t="shared" ca="1" si="1"/>
        <v>2882</v>
      </c>
      <c r="E10" s="1">
        <f t="shared" ca="1" si="2"/>
        <v>8174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Бариста</v>
      </c>
      <c r="C11" s="1">
        <f t="shared" ca="1" si="0"/>
        <v>5000</v>
      </c>
      <c r="D11" s="1">
        <f t="shared" ca="1" si="1"/>
        <v>2492</v>
      </c>
      <c r="E11" s="1">
        <f t="shared" ca="1" si="2"/>
        <v>7882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Бариста</v>
      </c>
      <c r="C12" s="1">
        <f t="shared" ca="1" si="0"/>
        <v>3400</v>
      </c>
      <c r="D12" s="1">
        <f t="shared" ca="1" si="1"/>
        <v>2908</v>
      </c>
      <c r="E12" s="1">
        <f t="shared" ca="1" si="2"/>
        <v>7492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Бариста</v>
      </c>
      <c r="C13" s="1">
        <f t="shared" ca="1" si="0"/>
        <v>3400</v>
      </c>
      <c r="D13" s="1">
        <f t="shared" ca="1" si="1"/>
        <v>2037</v>
      </c>
      <c r="E13" s="1">
        <f t="shared" ca="1" si="2"/>
        <v>6308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Админимстратор</v>
      </c>
      <c r="C14" s="1">
        <f t="shared" ca="1" si="0"/>
        <v>3400</v>
      </c>
      <c r="D14" s="1">
        <f t="shared" ca="1" si="1"/>
        <v>2162</v>
      </c>
      <c r="E14" s="1">
        <f t="shared" ca="1" si="2"/>
        <v>5437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Директор</v>
      </c>
      <c r="C15" s="1">
        <f t="shared" ca="1" si="0"/>
        <v>3500</v>
      </c>
      <c r="D15" s="1">
        <f t="shared" ca="1" si="1"/>
        <v>2101</v>
      </c>
      <c r="E15" s="1">
        <f t="shared" ca="1" si="2"/>
        <v>5562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Админимстратор</v>
      </c>
      <c r="C16" s="1">
        <f t="shared" ca="1" si="0"/>
        <v>5000</v>
      </c>
      <c r="D16" s="1">
        <f t="shared" ca="1" si="1"/>
        <v>2361</v>
      </c>
      <c r="E16" s="1">
        <f t="shared" ca="1" si="2"/>
        <v>5601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Админимстратор</v>
      </c>
      <c r="C17" s="1">
        <f t="shared" ca="1" si="0"/>
        <v>3500</v>
      </c>
      <c r="D17" s="1">
        <f t="shared" ca="1" si="1"/>
        <v>2251</v>
      </c>
      <c r="E17" s="1">
        <f t="shared" ca="1" si="2"/>
        <v>7361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Уборщик</v>
      </c>
      <c r="C18" s="1">
        <f t="shared" ca="1" si="0"/>
        <v>3500</v>
      </c>
      <c r="D18" s="1">
        <f t="shared" ca="1" si="1"/>
        <v>3025</v>
      </c>
      <c r="E18" s="1">
        <f t="shared" ca="1" si="2"/>
        <v>5751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Директор</v>
      </c>
      <c r="C19" s="1">
        <f t="shared" ca="1" si="0"/>
        <v>3257</v>
      </c>
      <c r="D19" s="1">
        <f t="shared" ca="1" si="1"/>
        <v>1848</v>
      </c>
      <c r="E19" s="1">
        <f t="shared" ca="1" si="2"/>
        <v>6525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Админимстратор</v>
      </c>
      <c r="C20" s="1">
        <f t="shared" ca="1" si="0"/>
        <v>5000</v>
      </c>
      <c r="D20" s="1">
        <f t="shared" ca="1" si="1"/>
        <v>2705</v>
      </c>
      <c r="E20" s="1">
        <f t="shared" ca="1" si="2"/>
        <v>5105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Директор</v>
      </c>
      <c r="C21" s="1">
        <f t="shared" ca="1" si="0"/>
        <v>3500</v>
      </c>
      <c r="D21" s="1">
        <f t="shared" ca="1" si="1"/>
        <v>2017</v>
      </c>
      <c r="E21" s="1">
        <f t="shared" ca="1" si="2"/>
        <v>7705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Директор</v>
      </c>
      <c r="C22" s="1">
        <f t="shared" ca="1" si="0"/>
        <v>5000</v>
      </c>
      <c r="D22" s="1">
        <f t="shared" ca="1" si="1"/>
        <v>2148</v>
      </c>
      <c r="E22" s="1">
        <f t="shared" ca="1" si="2"/>
        <v>5517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Бариста</v>
      </c>
      <c r="C23" s="1">
        <f t="shared" ca="1" si="0"/>
        <v>5000</v>
      </c>
      <c r="D23" s="1">
        <f t="shared" ca="1" si="1"/>
        <v>3369</v>
      </c>
      <c r="E23" s="1">
        <f t="shared" ca="1" si="2"/>
        <v>7148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Бариста</v>
      </c>
      <c r="C24" s="1">
        <f t="shared" ca="1" si="0"/>
        <v>3400</v>
      </c>
      <c r="D24" s="1">
        <f t="shared" ca="1" si="1"/>
        <v>2799</v>
      </c>
      <c r="E24" s="1">
        <f t="shared" ca="1" si="2"/>
        <v>8369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Бариста</v>
      </c>
      <c r="C25" s="1">
        <f t="shared" ca="1" si="0"/>
        <v>3400</v>
      </c>
      <c r="D25" s="1">
        <f t="shared" ca="1" si="1"/>
        <v>1573</v>
      </c>
      <c r="E25" s="1">
        <f t="shared" ca="1" si="2"/>
        <v>6199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Директор</v>
      </c>
      <c r="C26" s="1">
        <f t="shared" ca="1" si="0"/>
        <v>3400</v>
      </c>
      <c r="D26" s="1">
        <f t="shared" ca="1" si="1"/>
        <v>2833</v>
      </c>
      <c r="E26" s="1">
        <f t="shared" ca="1" si="2"/>
        <v>4973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Директор</v>
      </c>
      <c r="C27" s="1">
        <f t="shared" ca="1" si="0"/>
        <v>5000</v>
      </c>
      <c r="D27" s="1">
        <f t="shared" ca="1" si="1"/>
        <v>1570</v>
      </c>
      <c r="E27" s="1">
        <f t="shared" ca="1" si="2"/>
        <v>6233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Бариста</v>
      </c>
      <c r="C28" s="1">
        <f t="shared" ca="1" si="0"/>
        <v>5000</v>
      </c>
      <c r="D28" s="1">
        <f t="shared" ca="1" si="1"/>
        <v>2845</v>
      </c>
      <c r="E28" s="1">
        <f t="shared" ca="1" si="2"/>
        <v>6570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Бариста</v>
      </c>
      <c r="C29" s="1">
        <f t="shared" ca="1" si="0"/>
        <v>3400</v>
      </c>
      <c r="D29" s="1">
        <f t="shared" ca="1" si="1"/>
        <v>1978</v>
      </c>
      <c r="E29" s="1">
        <f t="shared" ca="1" si="2"/>
        <v>7845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Бариста</v>
      </c>
      <c r="C30" s="1">
        <f t="shared" ca="1" si="0"/>
        <v>3400</v>
      </c>
      <c r="D30" s="1">
        <f t="shared" ca="1" si="1"/>
        <v>2353</v>
      </c>
      <c r="E30" s="1">
        <f t="shared" ca="1" si="2"/>
        <v>5378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Курьер</v>
      </c>
      <c r="C31" s="1">
        <f t="shared" ca="1" si="0"/>
        <v>3400</v>
      </c>
      <c r="D31" s="1">
        <f t="shared" ca="1" si="1"/>
        <v>2983</v>
      </c>
      <c r="E31" s="1">
        <f t="shared" ca="1" si="2"/>
        <v>5753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4789-6A7E-4725-A3DE-3A8DA4EBDAA3}">
  <dimension ref="A1:L31"/>
  <sheetViews>
    <sheetView workbookViewId="0">
      <selection activeCell="E3" sqref="E2:E3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1" t="str" cm="1">
        <f t="array" aca="1" ref="B2" ca="1">INDEX($K$2:$K$6, RANDBETWEEN(1, COUNTA($K$2:$K$6)))</f>
        <v>Уборщик</v>
      </c>
      <c r="C2" s="1">
        <f ca="1">VLOOKUP(B2, $K$2:$L$6, 2,0)</f>
        <v>6800</v>
      </c>
      <c r="D2" s="1">
        <f ca="1">RANDBETWEEN(1500,3400)</f>
        <v>2458</v>
      </c>
      <c r="E2" s="1">
        <f ca="1">C2+D2</f>
        <v>9258</v>
      </c>
      <c r="K2" s="1" t="s">
        <v>5</v>
      </c>
      <c r="L2" s="1">
        <v>8400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Админимстратор</v>
      </c>
      <c r="C3" s="1">
        <f ca="1">VLOOKUP(B3, $K$2:$L$6, 2,0)</f>
        <v>7999</v>
      </c>
      <c r="D3" s="1">
        <f ca="1">RANDBETWEEN(1500,3400)</f>
        <v>3111</v>
      </c>
      <c r="E3" s="1">
        <f ca="1">C3+D3</f>
        <v>11110</v>
      </c>
      <c r="K3" s="1" t="s">
        <v>6</v>
      </c>
      <c r="L3" s="1">
        <v>7999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Директор</v>
      </c>
      <c r="C4" s="1">
        <f t="shared" ref="C4:C31" ca="1" si="0">VLOOKUP(B3, $K$2:$L$6, 2,0)</f>
        <v>7999</v>
      </c>
      <c r="D4" s="1">
        <f t="shared" ref="D4:D31" ca="1" si="1">RANDBETWEEN(1500,3400)</f>
        <v>1698</v>
      </c>
      <c r="E4" s="1">
        <f t="shared" ref="E4:E31" ca="1" si="2">C3+D3</f>
        <v>11110</v>
      </c>
      <c r="K4" s="1" t="s">
        <v>7</v>
      </c>
      <c r="L4" s="1">
        <v>7300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Директор</v>
      </c>
      <c r="C5" s="1">
        <f t="shared" ca="1" si="0"/>
        <v>8400</v>
      </c>
      <c r="D5" s="1">
        <f t="shared" ca="1" si="1"/>
        <v>2517</v>
      </c>
      <c r="E5" s="1">
        <f t="shared" ca="1" si="2"/>
        <v>9697</v>
      </c>
      <c r="K5" s="1" t="s">
        <v>8</v>
      </c>
      <c r="L5" s="1">
        <v>6800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Курьер</v>
      </c>
      <c r="C6" s="1">
        <f t="shared" ca="1" si="0"/>
        <v>8400</v>
      </c>
      <c r="D6" s="1">
        <f t="shared" ca="1" si="1"/>
        <v>2425</v>
      </c>
      <c r="E6" s="1">
        <f t="shared" ca="1" si="2"/>
        <v>10917</v>
      </c>
      <c r="K6" s="1" t="s">
        <v>9</v>
      </c>
      <c r="L6" s="1">
        <v>6500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Курьер</v>
      </c>
      <c r="C7" s="1">
        <f t="shared" ca="1" si="0"/>
        <v>6500</v>
      </c>
      <c r="D7" s="1">
        <f t="shared" ca="1" si="1"/>
        <v>2221</v>
      </c>
      <c r="E7" s="1">
        <f t="shared" ca="1" si="2"/>
        <v>10825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Уборщик</v>
      </c>
      <c r="C8" s="1">
        <f t="shared" ca="1" si="0"/>
        <v>6500</v>
      </c>
      <c r="D8" s="1">
        <f t="shared" ca="1" si="1"/>
        <v>3044</v>
      </c>
      <c r="E8" s="1">
        <f t="shared" ca="1" si="2"/>
        <v>8721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Уборщик</v>
      </c>
      <c r="C9" s="1">
        <f t="shared" ca="1" si="0"/>
        <v>6800</v>
      </c>
      <c r="D9" s="1">
        <f t="shared" ca="1" si="1"/>
        <v>2771</v>
      </c>
      <c r="E9" s="1">
        <f t="shared" ca="1" si="2"/>
        <v>9544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Курьер</v>
      </c>
      <c r="C10" s="1">
        <f t="shared" ca="1" si="0"/>
        <v>6800</v>
      </c>
      <c r="D10" s="1">
        <f t="shared" ca="1" si="1"/>
        <v>2625</v>
      </c>
      <c r="E10" s="1">
        <f t="shared" ca="1" si="2"/>
        <v>9571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Админимстратор</v>
      </c>
      <c r="C11" s="1">
        <f t="shared" ca="1" si="0"/>
        <v>6500</v>
      </c>
      <c r="D11" s="1">
        <f t="shared" ca="1" si="1"/>
        <v>1549</v>
      </c>
      <c r="E11" s="1">
        <f t="shared" ca="1" si="2"/>
        <v>9425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Админимстратор</v>
      </c>
      <c r="C12" s="1">
        <f t="shared" ca="1" si="0"/>
        <v>7999</v>
      </c>
      <c r="D12" s="1">
        <f t="shared" ca="1" si="1"/>
        <v>2958</v>
      </c>
      <c r="E12" s="1">
        <f t="shared" ca="1" si="2"/>
        <v>8049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Директор</v>
      </c>
      <c r="C13" s="1">
        <f t="shared" ca="1" si="0"/>
        <v>7999</v>
      </c>
      <c r="D13" s="1">
        <f t="shared" ca="1" si="1"/>
        <v>2785</v>
      </c>
      <c r="E13" s="1">
        <f t="shared" ca="1" si="2"/>
        <v>10957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Бариста</v>
      </c>
      <c r="C14" s="1">
        <f t="shared" ca="1" si="0"/>
        <v>8400</v>
      </c>
      <c r="D14" s="1">
        <f t="shared" ca="1" si="1"/>
        <v>2602</v>
      </c>
      <c r="E14" s="1">
        <f t="shared" ca="1" si="2"/>
        <v>10784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Курьер</v>
      </c>
      <c r="C15" s="1">
        <f t="shared" ca="1" si="0"/>
        <v>7300</v>
      </c>
      <c r="D15" s="1">
        <f t="shared" ca="1" si="1"/>
        <v>2345</v>
      </c>
      <c r="E15" s="1">
        <f t="shared" ca="1" si="2"/>
        <v>11002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Директор</v>
      </c>
      <c r="C16" s="1">
        <f t="shared" ca="1" si="0"/>
        <v>6500</v>
      </c>
      <c r="D16" s="1">
        <f t="shared" ca="1" si="1"/>
        <v>1902</v>
      </c>
      <c r="E16" s="1">
        <f t="shared" ca="1" si="2"/>
        <v>9645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Уборщик</v>
      </c>
      <c r="C17" s="1">
        <f t="shared" ca="1" si="0"/>
        <v>8400</v>
      </c>
      <c r="D17" s="1">
        <f t="shared" ca="1" si="1"/>
        <v>1769</v>
      </c>
      <c r="E17" s="1">
        <f t="shared" ca="1" si="2"/>
        <v>8402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Админимстратор</v>
      </c>
      <c r="C18" s="1">
        <f t="shared" ca="1" si="0"/>
        <v>6800</v>
      </c>
      <c r="D18" s="1">
        <f t="shared" ca="1" si="1"/>
        <v>2403</v>
      </c>
      <c r="E18" s="1">
        <f t="shared" ca="1" si="2"/>
        <v>10169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Бариста</v>
      </c>
      <c r="C19" s="1">
        <f t="shared" ca="1" si="0"/>
        <v>7999</v>
      </c>
      <c r="D19" s="1">
        <f t="shared" ca="1" si="1"/>
        <v>2077</v>
      </c>
      <c r="E19" s="1">
        <f t="shared" ca="1" si="2"/>
        <v>9203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Директор</v>
      </c>
      <c r="C20" s="1">
        <f t="shared" ca="1" si="0"/>
        <v>7300</v>
      </c>
      <c r="D20" s="1">
        <f t="shared" ca="1" si="1"/>
        <v>3297</v>
      </c>
      <c r="E20" s="1">
        <f t="shared" ca="1" si="2"/>
        <v>10076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Директор</v>
      </c>
      <c r="C21" s="1">
        <f t="shared" ca="1" si="0"/>
        <v>8400</v>
      </c>
      <c r="D21" s="1">
        <f t="shared" ca="1" si="1"/>
        <v>2210</v>
      </c>
      <c r="E21" s="1">
        <f t="shared" ca="1" si="2"/>
        <v>10597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Курьер</v>
      </c>
      <c r="C22" s="1">
        <f t="shared" ca="1" si="0"/>
        <v>8400</v>
      </c>
      <c r="D22" s="1">
        <f t="shared" ca="1" si="1"/>
        <v>1895</v>
      </c>
      <c r="E22" s="1">
        <f t="shared" ca="1" si="2"/>
        <v>10610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Бариста</v>
      </c>
      <c r="C23" s="1">
        <f t="shared" ca="1" si="0"/>
        <v>6500</v>
      </c>
      <c r="D23" s="1">
        <f t="shared" ca="1" si="1"/>
        <v>2043</v>
      </c>
      <c r="E23" s="1">
        <f t="shared" ca="1" si="2"/>
        <v>10295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Курьер</v>
      </c>
      <c r="C24" s="1">
        <f t="shared" ca="1" si="0"/>
        <v>7300</v>
      </c>
      <c r="D24" s="1">
        <f t="shared" ca="1" si="1"/>
        <v>1650</v>
      </c>
      <c r="E24" s="1">
        <f t="shared" ca="1" si="2"/>
        <v>8543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Курьер</v>
      </c>
      <c r="C25" s="1">
        <f t="shared" ca="1" si="0"/>
        <v>6500</v>
      </c>
      <c r="D25" s="1">
        <f t="shared" ca="1" si="1"/>
        <v>1691</v>
      </c>
      <c r="E25" s="1">
        <f t="shared" ca="1" si="2"/>
        <v>8950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Курьер</v>
      </c>
      <c r="C26" s="1">
        <f t="shared" ca="1" si="0"/>
        <v>6500</v>
      </c>
      <c r="D26" s="1">
        <f t="shared" ca="1" si="1"/>
        <v>1699</v>
      </c>
      <c r="E26" s="1">
        <f t="shared" ca="1" si="2"/>
        <v>8191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Админимстратор</v>
      </c>
      <c r="C27" s="1">
        <f t="shared" ca="1" si="0"/>
        <v>6500</v>
      </c>
      <c r="D27" s="1">
        <f t="shared" ca="1" si="1"/>
        <v>2314</v>
      </c>
      <c r="E27" s="1">
        <f t="shared" ca="1" si="2"/>
        <v>8199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Курьер</v>
      </c>
      <c r="C28" s="1">
        <f t="shared" ca="1" si="0"/>
        <v>7999</v>
      </c>
      <c r="D28" s="1">
        <f t="shared" ca="1" si="1"/>
        <v>2161</v>
      </c>
      <c r="E28" s="1">
        <f t="shared" ca="1" si="2"/>
        <v>8814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Бариста</v>
      </c>
      <c r="C29" s="1">
        <f t="shared" ca="1" si="0"/>
        <v>6500</v>
      </c>
      <c r="D29" s="1">
        <f t="shared" ca="1" si="1"/>
        <v>2027</v>
      </c>
      <c r="E29" s="1">
        <f t="shared" ca="1" si="2"/>
        <v>10160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Директор</v>
      </c>
      <c r="C30" s="1">
        <f t="shared" ca="1" si="0"/>
        <v>7300</v>
      </c>
      <c r="D30" s="1">
        <f t="shared" ca="1" si="1"/>
        <v>2695</v>
      </c>
      <c r="E30" s="1">
        <f t="shared" ca="1" si="2"/>
        <v>8527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Курьер</v>
      </c>
      <c r="C31" s="1">
        <f t="shared" ca="1" si="0"/>
        <v>8400</v>
      </c>
      <c r="D31" s="1">
        <f t="shared" ca="1" si="1"/>
        <v>1820</v>
      </c>
      <c r="E31" s="1">
        <f t="shared" ca="1" si="2"/>
        <v>9995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AE7C-0BA1-452A-B49C-821A4D0BAC33}">
  <dimension ref="A1:L31"/>
  <sheetViews>
    <sheetView workbookViewId="0">
      <selection activeCell="E3" sqref="E2:E3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1" t="str" cm="1">
        <f t="array" aca="1" ref="B2" ca="1">INDEX($K$2:$K$6, RANDBETWEEN(1, COUNTA($K$2:$K$6)))</f>
        <v>Бариста</v>
      </c>
      <c r="C2" s="1">
        <f ca="1">VLOOKUP(B2, $K$2:$L$6, 2,0)</f>
        <v>5342</v>
      </c>
      <c r="D2" s="1">
        <f ca="1">RANDBETWEEN(1500,3400)</f>
        <v>1518</v>
      </c>
      <c r="E2" s="1">
        <f ca="1">C2+D2</f>
        <v>6860</v>
      </c>
      <c r="K2" s="1" t="s">
        <v>5</v>
      </c>
      <c r="L2" s="1">
        <v>6479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Директор</v>
      </c>
      <c r="C3" s="1">
        <f ca="1">VLOOKUP(B3, $K$2:$L$6, 2,0)</f>
        <v>6479</v>
      </c>
      <c r="D3" s="1">
        <f ca="1">RANDBETWEEN(1500,3400)</f>
        <v>3224</v>
      </c>
      <c r="E3" s="1">
        <f ca="1">C3+D3</f>
        <v>9703</v>
      </c>
      <c r="K3" s="1" t="s">
        <v>6</v>
      </c>
      <c r="L3" s="1">
        <v>5999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Админимстратор</v>
      </c>
      <c r="C4" s="1">
        <f t="shared" ref="C4:C31" ca="1" si="0">VLOOKUP(B3, $K$2:$L$6, 2,0)</f>
        <v>6479</v>
      </c>
      <c r="D4" s="1">
        <f t="shared" ref="D4:D31" ca="1" si="1">RANDBETWEEN(1500,3400)</f>
        <v>2001</v>
      </c>
      <c r="E4" s="1">
        <f t="shared" ref="E4:E31" ca="1" si="2">C3+D3</f>
        <v>9703</v>
      </c>
      <c r="K4" s="1" t="s">
        <v>7</v>
      </c>
      <c r="L4" s="1">
        <v>5342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Админимстратор</v>
      </c>
      <c r="C5" s="1">
        <f t="shared" ca="1" si="0"/>
        <v>5999</v>
      </c>
      <c r="D5" s="1">
        <f t="shared" ca="1" si="1"/>
        <v>2868</v>
      </c>
      <c r="E5" s="1">
        <f t="shared" ca="1" si="2"/>
        <v>8480</v>
      </c>
      <c r="K5" s="1" t="s">
        <v>8</v>
      </c>
      <c r="L5" s="1">
        <v>4256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Курьер</v>
      </c>
      <c r="C6" s="1">
        <f t="shared" ca="1" si="0"/>
        <v>5999</v>
      </c>
      <c r="D6" s="1">
        <f t="shared" ca="1" si="1"/>
        <v>3090</v>
      </c>
      <c r="E6" s="1">
        <f t="shared" ca="1" si="2"/>
        <v>8867</v>
      </c>
      <c r="K6" s="1" t="s">
        <v>9</v>
      </c>
      <c r="L6" s="1">
        <v>3521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Директор</v>
      </c>
      <c r="C7" s="1">
        <f t="shared" ca="1" si="0"/>
        <v>3521</v>
      </c>
      <c r="D7" s="1">
        <f t="shared" ca="1" si="1"/>
        <v>2216</v>
      </c>
      <c r="E7" s="1">
        <f t="shared" ca="1" si="2"/>
        <v>9089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Уборщик</v>
      </c>
      <c r="C8" s="1">
        <f t="shared" ca="1" si="0"/>
        <v>6479</v>
      </c>
      <c r="D8" s="1">
        <f t="shared" ca="1" si="1"/>
        <v>1624</v>
      </c>
      <c r="E8" s="1">
        <f t="shared" ca="1" si="2"/>
        <v>5737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Бариста</v>
      </c>
      <c r="C9" s="1">
        <f t="shared" ca="1" si="0"/>
        <v>4256</v>
      </c>
      <c r="D9" s="1">
        <f t="shared" ca="1" si="1"/>
        <v>1644</v>
      </c>
      <c r="E9" s="1">
        <f t="shared" ca="1" si="2"/>
        <v>8103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Курьер</v>
      </c>
      <c r="C10" s="1">
        <f t="shared" ca="1" si="0"/>
        <v>5342</v>
      </c>
      <c r="D10" s="1">
        <f t="shared" ca="1" si="1"/>
        <v>2539</v>
      </c>
      <c r="E10" s="1">
        <f t="shared" ca="1" si="2"/>
        <v>5900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Админимстратор</v>
      </c>
      <c r="C11" s="1">
        <f t="shared" ca="1" si="0"/>
        <v>3521</v>
      </c>
      <c r="D11" s="1">
        <f t="shared" ca="1" si="1"/>
        <v>1950</v>
      </c>
      <c r="E11" s="1">
        <f t="shared" ca="1" si="2"/>
        <v>7881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Бариста</v>
      </c>
      <c r="C12" s="1">
        <f t="shared" ca="1" si="0"/>
        <v>5999</v>
      </c>
      <c r="D12" s="1">
        <f t="shared" ca="1" si="1"/>
        <v>2081</v>
      </c>
      <c r="E12" s="1">
        <f t="shared" ca="1" si="2"/>
        <v>5471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Админимстратор</v>
      </c>
      <c r="C13" s="1">
        <f t="shared" ca="1" si="0"/>
        <v>5342</v>
      </c>
      <c r="D13" s="1">
        <f t="shared" ca="1" si="1"/>
        <v>1746</v>
      </c>
      <c r="E13" s="1">
        <f t="shared" ca="1" si="2"/>
        <v>8080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Уборщик</v>
      </c>
      <c r="C14" s="1">
        <f t="shared" ca="1" si="0"/>
        <v>5999</v>
      </c>
      <c r="D14" s="1">
        <f t="shared" ca="1" si="1"/>
        <v>2579</v>
      </c>
      <c r="E14" s="1">
        <f t="shared" ca="1" si="2"/>
        <v>7088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Уборщик</v>
      </c>
      <c r="C15" s="1">
        <f t="shared" ca="1" si="0"/>
        <v>4256</v>
      </c>
      <c r="D15" s="1">
        <f t="shared" ca="1" si="1"/>
        <v>2031</v>
      </c>
      <c r="E15" s="1">
        <f t="shared" ca="1" si="2"/>
        <v>8578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Админимстратор</v>
      </c>
      <c r="C16" s="1">
        <f t="shared" ca="1" si="0"/>
        <v>4256</v>
      </c>
      <c r="D16" s="1">
        <f t="shared" ca="1" si="1"/>
        <v>2051</v>
      </c>
      <c r="E16" s="1">
        <f t="shared" ca="1" si="2"/>
        <v>6287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Курьер</v>
      </c>
      <c r="C17" s="1">
        <f t="shared" ca="1" si="0"/>
        <v>5999</v>
      </c>
      <c r="D17" s="1">
        <f t="shared" ca="1" si="1"/>
        <v>3017</v>
      </c>
      <c r="E17" s="1">
        <f t="shared" ca="1" si="2"/>
        <v>6307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Директор</v>
      </c>
      <c r="C18" s="1">
        <f t="shared" ca="1" si="0"/>
        <v>3521</v>
      </c>
      <c r="D18" s="1">
        <f t="shared" ca="1" si="1"/>
        <v>1598</v>
      </c>
      <c r="E18" s="1">
        <f t="shared" ca="1" si="2"/>
        <v>9016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Курьер</v>
      </c>
      <c r="C19" s="1">
        <f t="shared" ca="1" si="0"/>
        <v>6479</v>
      </c>
      <c r="D19" s="1">
        <f t="shared" ca="1" si="1"/>
        <v>2072</v>
      </c>
      <c r="E19" s="1">
        <f t="shared" ca="1" si="2"/>
        <v>5119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Бариста</v>
      </c>
      <c r="C20" s="1">
        <f t="shared" ca="1" si="0"/>
        <v>3521</v>
      </c>
      <c r="D20" s="1">
        <f t="shared" ca="1" si="1"/>
        <v>2850</v>
      </c>
      <c r="E20" s="1">
        <f t="shared" ca="1" si="2"/>
        <v>8551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Уборщик</v>
      </c>
      <c r="C21" s="1">
        <f t="shared" ca="1" si="0"/>
        <v>5342</v>
      </c>
      <c r="D21" s="1">
        <f t="shared" ca="1" si="1"/>
        <v>2319</v>
      </c>
      <c r="E21" s="1">
        <f t="shared" ca="1" si="2"/>
        <v>6371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Директор</v>
      </c>
      <c r="C22" s="1">
        <f t="shared" ca="1" si="0"/>
        <v>4256</v>
      </c>
      <c r="D22" s="1">
        <f t="shared" ca="1" si="1"/>
        <v>2228</v>
      </c>
      <c r="E22" s="1">
        <f t="shared" ca="1" si="2"/>
        <v>7661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Курьер</v>
      </c>
      <c r="C23" s="1">
        <f t="shared" ca="1" si="0"/>
        <v>6479</v>
      </c>
      <c r="D23" s="1">
        <f t="shared" ca="1" si="1"/>
        <v>1762</v>
      </c>
      <c r="E23" s="1">
        <f t="shared" ca="1" si="2"/>
        <v>6484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Курьер</v>
      </c>
      <c r="C24" s="1">
        <f t="shared" ca="1" si="0"/>
        <v>3521</v>
      </c>
      <c r="D24" s="1">
        <f t="shared" ca="1" si="1"/>
        <v>2594</v>
      </c>
      <c r="E24" s="1">
        <f t="shared" ca="1" si="2"/>
        <v>8241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Уборщик</v>
      </c>
      <c r="C25" s="1">
        <f t="shared" ca="1" si="0"/>
        <v>3521</v>
      </c>
      <c r="D25" s="1">
        <f t="shared" ca="1" si="1"/>
        <v>2457</v>
      </c>
      <c r="E25" s="1">
        <f t="shared" ca="1" si="2"/>
        <v>6115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Админимстратор</v>
      </c>
      <c r="C26" s="1">
        <f t="shared" ca="1" si="0"/>
        <v>4256</v>
      </c>
      <c r="D26" s="1">
        <f t="shared" ca="1" si="1"/>
        <v>2558</v>
      </c>
      <c r="E26" s="1">
        <f t="shared" ca="1" si="2"/>
        <v>5978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Курьер</v>
      </c>
      <c r="C27" s="1">
        <f t="shared" ca="1" si="0"/>
        <v>5999</v>
      </c>
      <c r="D27" s="1">
        <f t="shared" ca="1" si="1"/>
        <v>2747</v>
      </c>
      <c r="E27" s="1">
        <f t="shared" ca="1" si="2"/>
        <v>6814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Админимстратор</v>
      </c>
      <c r="C28" s="1">
        <f t="shared" ca="1" si="0"/>
        <v>3521</v>
      </c>
      <c r="D28" s="1">
        <f t="shared" ca="1" si="1"/>
        <v>1645</v>
      </c>
      <c r="E28" s="1">
        <f t="shared" ca="1" si="2"/>
        <v>8746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Админимстратор</v>
      </c>
      <c r="C29" s="1">
        <f t="shared" ca="1" si="0"/>
        <v>5999</v>
      </c>
      <c r="D29" s="1">
        <f t="shared" ca="1" si="1"/>
        <v>1834</v>
      </c>
      <c r="E29" s="1">
        <f t="shared" ca="1" si="2"/>
        <v>5166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Курьер</v>
      </c>
      <c r="C30" s="1">
        <f t="shared" ca="1" si="0"/>
        <v>5999</v>
      </c>
      <c r="D30" s="1">
        <f t="shared" ca="1" si="1"/>
        <v>3211</v>
      </c>
      <c r="E30" s="1">
        <f t="shared" ca="1" si="2"/>
        <v>7833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Директор</v>
      </c>
      <c r="C31" s="1">
        <f t="shared" ca="1" si="0"/>
        <v>3521</v>
      </c>
      <c r="D31" s="1">
        <f t="shared" ca="1" si="1"/>
        <v>2353</v>
      </c>
      <c r="E31" s="1">
        <f t="shared" ca="1" si="2"/>
        <v>9210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3F35-5F1C-42C3-843E-84258E402641}">
  <dimension ref="A1:L31"/>
  <sheetViews>
    <sheetView workbookViewId="0">
      <selection activeCell="E3" sqref="E2:E3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1" t="str" cm="1">
        <f t="array" aca="1" ref="B2" ca="1">INDEX($K$2:$K$6, RANDBETWEEN(1, COUNTA($K$2:$K$6)))</f>
        <v>Бариста</v>
      </c>
      <c r="C2" s="1">
        <f ca="1">VLOOKUP(B2, $K$2:$L$6, 2,0)</f>
        <v>3222</v>
      </c>
      <c r="D2" s="1">
        <f ca="1">RANDBETWEEN(1500,3400)</f>
        <v>2173</v>
      </c>
      <c r="E2" s="1">
        <f ca="1">C2+D2</f>
        <v>5395</v>
      </c>
      <c r="K2" s="1" t="s">
        <v>5</v>
      </c>
      <c r="L2" s="1">
        <v>4435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Курьер</v>
      </c>
      <c r="C3" s="1">
        <f ca="1">VLOOKUP(B3, $K$2:$L$6, 2,0)</f>
        <v>1759</v>
      </c>
      <c r="D3" s="1">
        <f ca="1">RANDBETWEEN(1500,3400)</f>
        <v>2830</v>
      </c>
      <c r="E3" s="1">
        <f ca="1">C3+D3</f>
        <v>4589</v>
      </c>
      <c r="K3" s="1" t="s">
        <v>6</v>
      </c>
      <c r="L3" s="1">
        <v>3579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Уборщик</v>
      </c>
      <c r="C4" s="1">
        <f t="shared" ref="C4:C31" ca="1" si="0">VLOOKUP(B3, $K$2:$L$6, 2,0)</f>
        <v>1759</v>
      </c>
      <c r="D4" s="1">
        <f t="shared" ref="D4:D31" ca="1" si="1">RANDBETWEEN(1500,3400)</f>
        <v>2129</v>
      </c>
      <c r="E4" s="1">
        <f t="shared" ref="E4:E31" ca="1" si="2">C3+D3</f>
        <v>4589</v>
      </c>
      <c r="K4" s="1" t="s">
        <v>7</v>
      </c>
      <c r="L4" s="1">
        <v>3222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Курьер</v>
      </c>
      <c r="C5" s="1">
        <f t="shared" ca="1" si="0"/>
        <v>2295</v>
      </c>
      <c r="D5" s="1">
        <f t="shared" ca="1" si="1"/>
        <v>3164</v>
      </c>
      <c r="E5" s="1">
        <f t="shared" ca="1" si="2"/>
        <v>3888</v>
      </c>
      <c r="K5" s="1" t="s">
        <v>8</v>
      </c>
      <c r="L5" s="1">
        <v>2295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Бариста</v>
      </c>
      <c r="C6" s="1">
        <f t="shared" ca="1" si="0"/>
        <v>1759</v>
      </c>
      <c r="D6" s="1">
        <f t="shared" ca="1" si="1"/>
        <v>2870</v>
      </c>
      <c r="E6" s="1">
        <f t="shared" ca="1" si="2"/>
        <v>5459</v>
      </c>
      <c r="K6" s="1" t="s">
        <v>9</v>
      </c>
      <c r="L6" s="1">
        <v>1759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Уборщик</v>
      </c>
      <c r="C7" s="1">
        <f t="shared" ca="1" si="0"/>
        <v>3222</v>
      </c>
      <c r="D7" s="1">
        <f t="shared" ca="1" si="1"/>
        <v>1615</v>
      </c>
      <c r="E7" s="1">
        <f t="shared" ca="1" si="2"/>
        <v>4629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Директор</v>
      </c>
      <c r="C8" s="1">
        <f t="shared" ca="1" si="0"/>
        <v>2295</v>
      </c>
      <c r="D8" s="1">
        <f t="shared" ca="1" si="1"/>
        <v>1700</v>
      </c>
      <c r="E8" s="1">
        <f t="shared" ca="1" si="2"/>
        <v>4837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Бариста</v>
      </c>
      <c r="C9" s="1">
        <f t="shared" ca="1" si="0"/>
        <v>4435</v>
      </c>
      <c r="D9" s="1">
        <f t="shared" ca="1" si="1"/>
        <v>2233</v>
      </c>
      <c r="E9" s="1">
        <f t="shared" ca="1" si="2"/>
        <v>3995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Бариста</v>
      </c>
      <c r="C10" s="1">
        <f t="shared" ca="1" si="0"/>
        <v>3222</v>
      </c>
      <c r="D10" s="1">
        <f t="shared" ca="1" si="1"/>
        <v>2245</v>
      </c>
      <c r="E10" s="1">
        <f t="shared" ca="1" si="2"/>
        <v>6668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Админимстратор</v>
      </c>
      <c r="C11" s="1">
        <f t="shared" ca="1" si="0"/>
        <v>3222</v>
      </c>
      <c r="D11" s="1">
        <f t="shared" ca="1" si="1"/>
        <v>3149</v>
      </c>
      <c r="E11" s="1">
        <f t="shared" ca="1" si="2"/>
        <v>5467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Админимстратор</v>
      </c>
      <c r="C12" s="1">
        <f t="shared" ca="1" si="0"/>
        <v>3579</v>
      </c>
      <c r="D12" s="1">
        <f t="shared" ca="1" si="1"/>
        <v>1845</v>
      </c>
      <c r="E12" s="1">
        <f t="shared" ca="1" si="2"/>
        <v>6371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Уборщик</v>
      </c>
      <c r="C13" s="1">
        <f t="shared" ca="1" si="0"/>
        <v>3579</v>
      </c>
      <c r="D13" s="1">
        <f t="shared" ca="1" si="1"/>
        <v>1918</v>
      </c>
      <c r="E13" s="1">
        <f t="shared" ca="1" si="2"/>
        <v>5424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Уборщик</v>
      </c>
      <c r="C14" s="1">
        <f t="shared" ca="1" si="0"/>
        <v>2295</v>
      </c>
      <c r="D14" s="1">
        <f t="shared" ca="1" si="1"/>
        <v>1852</v>
      </c>
      <c r="E14" s="1">
        <f t="shared" ca="1" si="2"/>
        <v>5497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Курьер</v>
      </c>
      <c r="C15" s="1">
        <f t="shared" ca="1" si="0"/>
        <v>2295</v>
      </c>
      <c r="D15" s="1">
        <f t="shared" ca="1" si="1"/>
        <v>2442</v>
      </c>
      <c r="E15" s="1">
        <f t="shared" ca="1" si="2"/>
        <v>4147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Админимстратор</v>
      </c>
      <c r="C16" s="1">
        <f t="shared" ca="1" si="0"/>
        <v>1759</v>
      </c>
      <c r="D16" s="1">
        <f t="shared" ca="1" si="1"/>
        <v>2656</v>
      </c>
      <c r="E16" s="1">
        <f t="shared" ca="1" si="2"/>
        <v>4737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Бариста</v>
      </c>
      <c r="C17" s="1">
        <f t="shared" ca="1" si="0"/>
        <v>3579</v>
      </c>
      <c r="D17" s="1">
        <f t="shared" ca="1" si="1"/>
        <v>2200</v>
      </c>
      <c r="E17" s="1">
        <f t="shared" ca="1" si="2"/>
        <v>4415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Курьер</v>
      </c>
      <c r="C18" s="1">
        <f t="shared" ca="1" si="0"/>
        <v>3222</v>
      </c>
      <c r="D18" s="1">
        <f t="shared" ca="1" si="1"/>
        <v>2653</v>
      </c>
      <c r="E18" s="1">
        <f t="shared" ca="1" si="2"/>
        <v>5779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Админимстратор</v>
      </c>
      <c r="C19" s="1">
        <f t="shared" ca="1" si="0"/>
        <v>1759</v>
      </c>
      <c r="D19" s="1">
        <f t="shared" ca="1" si="1"/>
        <v>1538</v>
      </c>
      <c r="E19" s="1">
        <f t="shared" ca="1" si="2"/>
        <v>5875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Админимстратор</v>
      </c>
      <c r="C20" s="1">
        <f t="shared" ca="1" si="0"/>
        <v>3579</v>
      </c>
      <c r="D20" s="1">
        <f t="shared" ca="1" si="1"/>
        <v>2456</v>
      </c>
      <c r="E20" s="1">
        <f t="shared" ca="1" si="2"/>
        <v>3297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Бариста</v>
      </c>
      <c r="C21" s="1">
        <f t="shared" ca="1" si="0"/>
        <v>3579</v>
      </c>
      <c r="D21" s="1">
        <f t="shared" ca="1" si="1"/>
        <v>2142</v>
      </c>
      <c r="E21" s="1">
        <f t="shared" ca="1" si="2"/>
        <v>6035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Админимстратор</v>
      </c>
      <c r="C22" s="1">
        <f t="shared" ca="1" si="0"/>
        <v>3222</v>
      </c>
      <c r="D22" s="1">
        <f t="shared" ca="1" si="1"/>
        <v>2021</v>
      </c>
      <c r="E22" s="1">
        <f t="shared" ca="1" si="2"/>
        <v>5721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Бариста</v>
      </c>
      <c r="C23" s="1">
        <f t="shared" ca="1" si="0"/>
        <v>3579</v>
      </c>
      <c r="D23" s="1">
        <f t="shared" ca="1" si="1"/>
        <v>3300</v>
      </c>
      <c r="E23" s="1">
        <f t="shared" ca="1" si="2"/>
        <v>5243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Уборщик</v>
      </c>
      <c r="C24" s="1">
        <f t="shared" ca="1" si="0"/>
        <v>3222</v>
      </c>
      <c r="D24" s="1">
        <f t="shared" ca="1" si="1"/>
        <v>2504</v>
      </c>
      <c r="E24" s="1">
        <f t="shared" ca="1" si="2"/>
        <v>6879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Бариста</v>
      </c>
      <c r="C25" s="1">
        <f t="shared" ca="1" si="0"/>
        <v>2295</v>
      </c>
      <c r="D25" s="1">
        <f t="shared" ca="1" si="1"/>
        <v>1924</v>
      </c>
      <c r="E25" s="1">
        <f t="shared" ca="1" si="2"/>
        <v>5726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Курьер</v>
      </c>
      <c r="C26" s="1">
        <f t="shared" ca="1" si="0"/>
        <v>3222</v>
      </c>
      <c r="D26" s="1">
        <f t="shared" ca="1" si="1"/>
        <v>2720</v>
      </c>
      <c r="E26" s="1">
        <f t="shared" ca="1" si="2"/>
        <v>4219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Директор</v>
      </c>
      <c r="C27" s="1">
        <f t="shared" ca="1" si="0"/>
        <v>1759</v>
      </c>
      <c r="D27" s="1">
        <f t="shared" ca="1" si="1"/>
        <v>2945</v>
      </c>
      <c r="E27" s="1">
        <f t="shared" ca="1" si="2"/>
        <v>5942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Бариста</v>
      </c>
      <c r="C28" s="1">
        <f t="shared" ca="1" si="0"/>
        <v>4435</v>
      </c>
      <c r="D28" s="1">
        <f t="shared" ca="1" si="1"/>
        <v>1991</v>
      </c>
      <c r="E28" s="1">
        <f t="shared" ca="1" si="2"/>
        <v>4704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Бариста</v>
      </c>
      <c r="C29" s="1">
        <f t="shared" ca="1" si="0"/>
        <v>3222</v>
      </c>
      <c r="D29" s="1">
        <f t="shared" ca="1" si="1"/>
        <v>2232</v>
      </c>
      <c r="E29" s="1">
        <f t="shared" ca="1" si="2"/>
        <v>6426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Админимстратор</v>
      </c>
      <c r="C30" s="1">
        <f t="shared" ca="1" si="0"/>
        <v>3222</v>
      </c>
      <c r="D30" s="1">
        <f t="shared" ca="1" si="1"/>
        <v>3029</v>
      </c>
      <c r="E30" s="1">
        <f t="shared" ca="1" si="2"/>
        <v>5454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Уборщик</v>
      </c>
      <c r="C31" s="1">
        <f t="shared" ca="1" si="0"/>
        <v>3579</v>
      </c>
      <c r="D31" s="1">
        <f t="shared" ca="1" si="1"/>
        <v>2125</v>
      </c>
      <c r="E31" s="1">
        <f t="shared" ca="1" si="2"/>
        <v>6251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1D01-18C5-42D2-B755-47D3E4DDF01B}">
  <dimension ref="A1:L31"/>
  <sheetViews>
    <sheetView workbookViewId="0">
      <selection activeCell="E3" sqref="E2:E3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1" t="str" cm="1">
        <f t="array" aca="1" ref="B2" ca="1">INDEX($K$2:$K$6, RANDBETWEEN(1, COUNTA($K$2:$K$6)))</f>
        <v>Бариста</v>
      </c>
      <c r="C2" s="1">
        <f ca="1">VLOOKUP(B2, $K$2:$L$6, 2,0)</f>
        <v>4290</v>
      </c>
      <c r="D2" s="1">
        <f ca="1">RANDBETWEEN(1500,3400)</f>
        <v>2756</v>
      </c>
      <c r="E2" s="1">
        <f ca="1">C2+D2</f>
        <v>7046</v>
      </c>
      <c r="K2" s="1" t="s">
        <v>5</v>
      </c>
      <c r="L2" s="1">
        <v>5643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Уборщик</v>
      </c>
      <c r="C3" s="1">
        <f ca="1">VLOOKUP(B3, $K$2:$L$6, 2,0)</f>
        <v>3123</v>
      </c>
      <c r="D3" s="1">
        <f ca="1">RANDBETWEEN(1500,3400)</f>
        <v>2856</v>
      </c>
      <c r="E3" s="1">
        <f ca="1">C3+D3</f>
        <v>5979</v>
      </c>
      <c r="K3" s="1" t="s">
        <v>6</v>
      </c>
      <c r="L3" s="1">
        <v>5259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Админимстратор</v>
      </c>
      <c r="C4" s="1">
        <f t="shared" ref="C4:C31" ca="1" si="0">VLOOKUP(B3, $K$2:$L$6, 2,0)</f>
        <v>3123</v>
      </c>
      <c r="D4" s="1">
        <f t="shared" ref="D4:D31" ca="1" si="1">RANDBETWEEN(1500,3400)</f>
        <v>2013</v>
      </c>
      <c r="E4" s="1">
        <f t="shared" ref="E4:E31" ca="1" si="2">C3+D3</f>
        <v>5979</v>
      </c>
      <c r="K4" s="1" t="s">
        <v>7</v>
      </c>
      <c r="L4" s="1">
        <v>4290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Директор</v>
      </c>
      <c r="C5" s="1">
        <f t="shared" ca="1" si="0"/>
        <v>5259</v>
      </c>
      <c r="D5" s="1">
        <f t="shared" ca="1" si="1"/>
        <v>1881</v>
      </c>
      <c r="E5" s="1">
        <f t="shared" ca="1" si="2"/>
        <v>5136</v>
      </c>
      <c r="K5" s="1" t="s">
        <v>8</v>
      </c>
      <c r="L5" s="1">
        <v>3123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Бариста</v>
      </c>
      <c r="C6" s="1">
        <f t="shared" ca="1" si="0"/>
        <v>5643</v>
      </c>
      <c r="D6" s="1">
        <f t="shared" ca="1" si="1"/>
        <v>2033</v>
      </c>
      <c r="E6" s="1">
        <f t="shared" ca="1" si="2"/>
        <v>7140</v>
      </c>
      <c r="K6" s="1" t="s">
        <v>9</v>
      </c>
      <c r="L6" s="1">
        <v>2157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Уборщик</v>
      </c>
      <c r="C7" s="1">
        <f t="shared" ca="1" si="0"/>
        <v>4290</v>
      </c>
      <c r="D7" s="1">
        <f t="shared" ca="1" si="1"/>
        <v>3169</v>
      </c>
      <c r="E7" s="1">
        <f t="shared" ca="1" si="2"/>
        <v>7676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Бариста</v>
      </c>
      <c r="C8" s="1">
        <f t="shared" ca="1" si="0"/>
        <v>3123</v>
      </c>
      <c r="D8" s="1">
        <f t="shared" ca="1" si="1"/>
        <v>1726</v>
      </c>
      <c r="E8" s="1">
        <f t="shared" ca="1" si="2"/>
        <v>7459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Уборщик</v>
      </c>
      <c r="C9" s="1">
        <f t="shared" ca="1" si="0"/>
        <v>4290</v>
      </c>
      <c r="D9" s="1">
        <f t="shared" ca="1" si="1"/>
        <v>3388</v>
      </c>
      <c r="E9" s="1">
        <f t="shared" ca="1" si="2"/>
        <v>4849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Админимстратор</v>
      </c>
      <c r="C10" s="1">
        <f t="shared" ca="1" si="0"/>
        <v>3123</v>
      </c>
      <c r="D10" s="1">
        <f t="shared" ca="1" si="1"/>
        <v>1848</v>
      </c>
      <c r="E10" s="1">
        <f t="shared" ca="1" si="2"/>
        <v>7678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Бариста</v>
      </c>
      <c r="C11" s="1">
        <f t="shared" ca="1" si="0"/>
        <v>5259</v>
      </c>
      <c r="D11" s="1">
        <f t="shared" ca="1" si="1"/>
        <v>2366</v>
      </c>
      <c r="E11" s="1">
        <f t="shared" ca="1" si="2"/>
        <v>4971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Админимстратор</v>
      </c>
      <c r="C12" s="1">
        <f t="shared" ca="1" si="0"/>
        <v>4290</v>
      </c>
      <c r="D12" s="1">
        <f t="shared" ca="1" si="1"/>
        <v>2823</v>
      </c>
      <c r="E12" s="1">
        <f t="shared" ca="1" si="2"/>
        <v>7625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Бариста</v>
      </c>
      <c r="C13" s="1">
        <f t="shared" ca="1" si="0"/>
        <v>5259</v>
      </c>
      <c r="D13" s="1">
        <f t="shared" ca="1" si="1"/>
        <v>3162</v>
      </c>
      <c r="E13" s="1">
        <f t="shared" ca="1" si="2"/>
        <v>7113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Курьер</v>
      </c>
      <c r="C14" s="1">
        <f t="shared" ca="1" si="0"/>
        <v>4290</v>
      </c>
      <c r="D14" s="1">
        <f t="shared" ca="1" si="1"/>
        <v>2757</v>
      </c>
      <c r="E14" s="1">
        <f t="shared" ca="1" si="2"/>
        <v>8421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Курьер</v>
      </c>
      <c r="C15" s="1">
        <f t="shared" ca="1" si="0"/>
        <v>2157</v>
      </c>
      <c r="D15" s="1">
        <f t="shared" ca="1" si="1"/>
        <v>3347</v>
      </c>
      <c r="E15" s="1">
        <f t="shared" ca="1" si="2"/>
        <v>7047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Бариста</v>
      </c>
      <c r="C16" s="1">
        <f t="shared" ca="1" si="0"/>
        <v>2157</v>
      </c>
      <c r="D16" s="1">
        <f t="shared" ca="1" si="1"/>
        <v>1756</v>
      </c>
      <c r="E16" s="1">
        <f t="shared" ca="1" si="2"/>
        <v>5504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Бариста</v>
      </c>
      <c r="C17" s="1">
        <f t="shared" ca="1" si="0"/>
        <v>4290</v>
      </c>
      <c r="D17" s="1">
        <f t="shared" ca="1" si="1"/>
        <v>2003</v>
      </c>
      <c r="E17" s="1">
        <f t="shared" ca="1" si="2"/>
        <v>3913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Уборщик</v>
      </c>
      <c r="C18" s="1">
        <f t="shared" ca="1" si="0"/>
        <v>4290</v>
      </c>
      <c r="D18" s="1">
        <f t="shared" ca="1" si="1"/>
        <v>1942</v>
      </c>
      <c r="E18" s="1">
        <f t="shared" ca="1" si="2"/>
        <v>6293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Уборщик</v>
      </c>
      <c r="C19" s="1">
        <f t="shared" ca="1" si="0"/>
        <v>3123</v>
      </c>
      <c r="D19" s="1">
        <f t="shared" ca="1" si="1"/>
        <v>2875</v>
      </c>
      <c r="E19" s="1">
        <f t="shared" ca="1" si="2"/>
        <v>6232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Бариста</v>
      </c>
      <c r="C20" s="1">
        <f t="shared" ca="1" si="0"/>
        <v>3123</v>
      </c>
      <c r="D20" s="1">
        <f t="shared" ca="1" si="1"/>
        <v>2532</v>
      </c>
      <c r="E20" s="1">
        <f t="shared" ca="1" si="2"/>
        <v>5998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Курьер</v>
      </c>
      <c r="C21" s="1">
        <f t="shared" ca="1" si="0"/>
        <v>4290</v>
      </c>
      <c r="D21" s="1">
        <f t="shared" ca="1" si="1"/>
        <v>3226</v>
      </c>
      <c r="E21" s="1">
        <f t="shared" ca="1" si="2"/>
        <v>5655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Бариста</v>
      </c>
      <c r="C22" s="1">
        <f t="shared" ca="1" si="0"/>
        <v>2157</v>
      </c>
      <c r="D22" s="1">
        <f t="shared" ca="1" si="1"/>
        <v>3135</v>
      </c>
      <c r="E22" s="1">
        <f t="shared" ca="1" si="2"/>
        <v>7516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Админимстратор</v>
      </c>
      <c r="C23" s="1">
        <f t="shared" ca="1" si="0"/>
        <v>4290</v>
      </c>
      <c r="D23" s="1">
        <f t="shared" ca="1" si="1"/>
        <v>2343</v>
      </c>
      <c r="E23" s="1">
        <f t="shared" ca="1" si="2"/>
        <v>5292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Админимстратор</v>
      </c>
      <c r="C24" s="1">
        <f t="shared" ca="1" si="0"/>
        <v>5259</v>
      </c>
      <c r="D24" s="1">
        <f t="shared" ca="1" si="1"/>
        <v>2002</v>
      </c>
      <c r="E24" s="1">
        <f t="shared" ca="1" si="2"/>
        <v>6633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Админимстратор</v>
      </c>
      <c r="C25" s="1">
        <f t="shared" ca="1" si="0"/>
        <v>5259</v>
      </c>
      <c r="D25" s="1">
        <f t="shared" ca="1" si="1"/>
        <v>2911</v>
      </c>
      <c r="E25" s="1">
        <f t="shared" ca="1" si="2"/>
        <v>7261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Директор</v>
      </c>
      <c r="C26" s="1">
        <f t="shared" ca="1" si="0"/>
        <v>5259</v>
      </c>
      <c r="D26" s="1">
        <f t="shared" ca="1" si="1"/>
        <v>3007</v>
      </c>
      <c r="E26" s="1">
        <f t="shared" ca="1" si="2"/>
        <v>8170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Курьер</v>
      </c>
      <c r="C27" s="1">
        <f t="shared" ca="1" si="0"/>
        <v>5643</v>
      </c>
      <c r="D27" s="1">
        <f t="shared" ca="1" si="1"/>
        <v>1608</v>
      </c>
      <c r="E27" s="1">
        <f t="shared" ca="1" si="2"/>
        <v>8266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Курьер</v>
      </c>
      <c r="C28" s="1">
        <f t="shared" ca="1" si="0"/>
        <v>2157</v>
      </c>
      <c r="D28" s="1">
        <f t="shared" ca="1" si="1"/>
        <v>2186</v>
      </c>
      <c r="E28" s="1">
        <f t="shared" ca="1" si="2"/>
        <v>7251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Админимстратор</v>
      </c>
      <c r="C29" s="1">
        <f t="shared" ca="1" si="0"/>
        <v>2157</v>
      </c>
      <c r="D29" s="1">
        <f t="shared" ca="1" si="1"/>
        <v>2732</v>
      </c>
      <c r="E29" s="1">
        <f t="shared" ca="1" si="2"/>
        <v>4343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Директор</v>
      </c>
      <c r="C30" s="1">
        <f t="shared" ca="1" si="0"/>
        <v>5259</v>
      </c>
      <c r="D30" s="1">
        <f t="shared" ca="1" si="1"/>
        <v>3060</v>
      </c>
      <c r="E30" s="1">
        <f t="shared" ca="1" si="2"/>
        <v>4889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Уборщик</v>
      </c>
      <c r="C31" s="1">
        <f t="shared" ca="1" si="0"/>
        <v>5643</v>
      </c>
      <c r="D31" s="1">
        <f t="shared" ca="1" si="1"/>
        <v>2460</v>
      </c>
      <c r="E31" s="1">
        <f t="shared" ca="1" si="2"/>
        <v>8319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0F06-94B0-4364-AB97-D43CE637A894}">
  <dimension ref="A1:L31"/>
  <sheetViews>
    <sheetView workbookViewId="0">
      <selection activeCell="E3" sqref="E2:E3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1" t="str" cm="1">
        <f t="array" aca="1" ref="B2" ca="1">INDEX($K$2:$K$6, RANDBETWEEN(1, COUNTA($K$2:$K$6)))</f>
        <v>Бариста</v>
      </c>
      <c r="C2" s="1">
        <f ca="1">VLOOKUP(B2, $K$2:$L$6, 2,0)</f>
        <v>3889</v>
      </c>
      <c r="D2" s="1">
        <f ca="1">RANDBETWEEN(1500,3400)</f>
        <v>1544</v>
      </c>
      <c r="E2" s="1">
        <f ca="1">C2+D2</f>
        <v>5433</v>
      </c>
      <c r="K2" s="1" t="s">
        <v>5</v>
      </c>
      <c r="L2" s="1">
        <v>4545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Уборщик</v>
      </c>
      <c r="C3" s="1">
        <f ca="1">VLOOKUP(B3, $K$2:$L$6, 2,0)</f>
        <v>2999</v>
      </c>
      <c r="D3" s="1">
        <f ca="1">RANDBETWEEN(1500,3400)</f>
        <v>3376</v>
      </c>
      <c r="E3" s="1">
        <f ca="1">C3+D3</f>
        <v>6375</v>
      </c>
      <c r="K3" s="1" t="s">
        <v>6</v>
      </c>
      <c r="L3" s="1">
        <v>4436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Бариста</v>
      </c>
      <c r="C4" s="1">
        <f t="shared" ref="C4:C31" ca="1" si="0">VLOOKUP(B3, $K$2:$L$6, 2,0)</f>
        <v>2999</v>
      </c>
      <c r="D4" s="1">
        <f t="shared" ref="D4:D31" ca="1" si="1">RANDBETWEEN(1500,3400)</f>
        <v>2031</v>
      </c>
      <c r="E4" s="1">
        <f t="shared" ref="E4:E31" ca="1" si="2">C3+D3</f>
        <v>6375</v>
      </c>
      <c r="K4" s="1" t="s">
        <v>7</v>
      </c>
      <c r="L4" s="1">
        <v>3889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Директор</v>
      </c>
      <c r="C5" s="1">
        <f t="shared" ca="1" si="0"/>
        <v>3889</v>
      </c>
      <c r="D5" s="1">
        <f t="shared" ca="1" si="1"/>
        <v>3331</v>
      </c>
      <c r="E5" s="1">
        <f t="shared" ca="1" si="2"/>
        <v>5030</v>
      </c>
      <c r="K5" s="1" t="s">
        <v>8</v>
      </c>
      <c r="L5" s="1">
        <v>2999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Курьер</v>
      </c>
      <c r="C6" s="1">
        <f t="shared" ca="1" si="0"/>
        <v>4545</v>
      </c>
      <c r="D6" s="1">
        <f t="shared" ca="1" si="1"/>
        <v>2136</v>
      </c>
      <c r="E6" s="1">
        <f t="shared" ca="1" si="2"/>
        <v>7220</v>
      </c>
      <c r="K6" s="1" t="s">
        <v>9</v>
      </c>
      <c r="L6" s="1">
        <v>1900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Бариста</v>
      </c>
      <c r="C7" s="1">
        <f t="shared" ca="1" si="0"/>
        <v>1900</v>
      </c>
      <c r="D7" s="1">
        <f t="shared" ca="1" si="1"/>
        <v>2346</v>
      </c>
      <c r="E7" s="1">
        <f t="shared" ca="1" si="2"/>
        <v>6681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Бариста</v>
      </c>
      <c r="C8" s="1">
        <f t="shared" ca="1" si="0"/>
        <v>3889</v>
      </c>
      <c r="D8" s="1">
        <f t="shared" ca="1" si="1"/>
        <v>3250</v>
      </c>
      <c r="E8" s="1">
        <f t="shared" ca="1" si="2"/>
        <v>4246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Админимстратор</v>
      </c>
      <c r="C9" s="1">
        <f t="shared" ca="1" si="0"/>
        <v>3889</v>
      </c>
      <c r="D9" s="1">
        <f t="shared" ca="1" si="1"/>
        <v>1968</v>
      </c>
      <c r="E9" s="1">
        <f t="shared" ca="1" si="2"/>
        <v>7139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Уборщик</v>
      </c>
      <c r="C10" s="1">
        <f t="shared" ca="1" si="0"/>
        <v>4436</v>
      </c>
      <c r="D10" s="1">
        <f t="shared" ca="1" si="1"/>
        <v>2514</v>
      </c>
      <c r="E10" s="1">
        <f t="shared" ca="1" si="2"/>
        <v>5857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Уборщик</v>
      </c>
      <c r="C11" s="1">
        <f t="shared" ca="1" si="0"/>
        <v>2999</v>
      </c>
      <c r="D11" s="1">
        <f t="shared" ca="1" si="1"/>
        <v>1901</v>
      </c>
      <c r="E11" s="1">
        <f t="shared" ca="1" si="2"/>
        <v>6950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Админимстратор</v>
      </c>
      <c r="C12" s="1">
        <f t="shared" ca="1" si="0"/>
        <v>2999</v>
      </c>
      <c r="D12" s="1">
        <f t="shared" ca="1" si="1"/>
        <v>2591</v>
      </c>
      <c r="E12" s="1">
        <f t="shared" ca="1" si="2"/>
        <v>4900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Курьер</v>
      </c>
      <c r="C13" s="1">
        <f t="shared" ca="1" si="0"/>
        <v>4436</v>
      </c>
      <c r="D13" s="1">
        <f t="shared" ca="1" si="1"/>
        <v>2175</v>
      </c>
      <c r="E13" s="1">
        <f t="shared" ca="1" si="2"/>
        <v>5590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Директор</v>
      </c>
      <c r="C14" s="1">
        <f t="shared" ca="1" si="0"/>
        <v>1900</v>
      </c>
      <c r="D14" s="1">
        <f t="shared" ca="1" si="1"/>
        <v>3295</v>
      </c>
      <c r="E14" s="1">
        <f t="shared" ca="1" si="2"/>
        <v>6611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Админимстратор</v>
      </c>
      <c r="C15" s="1">
        <f t="shared" ca="1" si="0"/>
        <v>4545</v>
      </c>
      <c r="D15" s="1">
        <f t="shared" ca="1" si="1"/>
        <v>2969</v>
      </c>
      <c r="E15" s="1">
        <f t="shared" ca="1" si="2"/>
        <v>5195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Уборщик</v>
      </c>
      <c r="C16" s="1">
        <f t="shared" ca="1" si="0"/>
        <v>4436</v>
      </c>
      <c r="D16" s="1">
        <f t="shared" ca="1" si="1"/>
        <v>1698</v>
      </c>
      <c r="E16" s="1">
        <f t="shared" ca="1" si="2"/>
        <v>7514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Админимстратор</v>
      </c>
      <c r="C17" s="1">
        <f t="shared" ca="1" si="0"/>
        <v>2999</v>
      </c>
      <c r="D17" s="1">
        <f t="shared" ca="1" si="1"/>
        <v>2701</v>
      </c>
      <c r="E17" s="1">
        <f t="shared" ca="1" si="2"/>
        <v>6134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Админимстратор</v>
      </c>
      <c r="C18" s="1">
        <f t="shared" ca="1" si="0"/>
        <v>4436</v>
      </c>
      <c r="D18" s="1">
        <f t="shared" ca="1" si="1"/>
        <v>2873</v>
      </c>
      <c r="E18" s="1">
        <f t="shared" ca="1" si="2"/>
        <v>5700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Уборщик</v>
      </c>
      <c r="C19" s="1">
        <f t="shared" ca="1" si="0"/>
        <v>4436</v>
      </c>
      <c r="D19" s="1">
        <f t="shared" ca="1" si="1"/>
        <v>2472</v>
      </c>
      <c r="E19" s="1">
        <f t="shared" ca="1" si="2"/>
        <v>7309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Директор</v>
      </c>
      <c r="C20" s="1">
        <f t="shared" ca="1" si="0"/>
        <v>2999</v>
      </c>
      <c r="D20" s="1">
        <f t="shared" ca="1" si="1"/>
        <v>1714</v>
      </c>
      <c r="E20" s="1">
        <f t="shared" ca="1" si="2"/>
        <v>6908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Админимстратор</v>
      </c>
      <c r="C21" s="1">
        <f t="shared" ca="1" si="0"/>
        <v>4545</v>
      </c>
      <c r="D21" s="1">
        <f t="shared" ca="1" si="1"/>
        <v>1875</v>
      </c>
      <c r="E21" s="1">
        <f t="shared" ca="1" si="2"/>
        <v>4713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Курьер</v>
      </c>
      <c r="C22" s="1">
        <f t="shared" ca="1" si="0"/>
        <v>4436</v>
      </c>
      <c r="D22" s="1">
        <f t="shared" ca="1" si="1"/>
        <v>1997</v>
      </c>
      <c r="E22" s="1">
        <f t="shared" ca="1" si="2"/>
        <v>6420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Бариста</v>
      </c>
      <c r="C23" s="1">
        <f t="shared" ca="1" si="0"/>
        <v>1900</v>
      </c>
      <c r="D23" s="1">
        <f t="shared" ca="1" si="1"/>
        <v>2198</v>
      </c>
      <c r="E23" s="1">
        <f t="shared" ca="1" si="2"/>
        <v>6433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Курьер</v>
      </c>
      <c r="C24" s="1">
        <f t="shared" ca="1" si="0"/>
        <v>3889</v>
      </c>
      <c r="D24" s="1">
        <f t="shared" ca="1" si="1"/>
        <v>2134</v>
      </c>
      <c r="E24" s="1">
        <f t="shared" ca="1" si="2"/>
        <v>4098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Курьер</v>
      </c>
      <c r="C25" s="1">
        <f t="shared" ca="1" si="0"/>
        <v>1900</v>
      </c>
      <c r="D25" s="1">
        <f t="shared" ca="1" si="1"/>
        <v>2250</v>
      </c>
      <c r="E25" s="1">
        <f t="shared" ca="1" si="2"/>
        <v>6023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Уборщик</v>
      </c>
      <c r="C26" s="1">
        <f t="shared" ca="1" si="0"/>
        <v>1900</v>
      </c>
      <c r="D26" s="1">
        <f t="shared" ca="1" si="1"/>
        <v>2372</v>
      </c>
      <c r="E26" s="1">
        <f t="shared" ca="1" si="2"/>
        <v>4150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Уборщик</v>
      </c>
      <c r="C27" s="1">
        <f t="shared" ca="1" si="0"/>
        <v>2999</v>
      </c>
      <c r="D27" s="1">
        <f t="shared" ca="1" si="1"/>
        <v>3258</v>
      </c>
      <c r="E27" s="1">
        <f t="shared" ca="1" si="2"/>
        <v>4272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Курьер</v>
      </c>
      <c r="C28" s="1">
        <f t="shared" ca="1" si="0"/>
        <v>2999</v>
      </c>
      <c r="D28" s="1">
        <f t="shared" ca="1" si="1"/>
        <v>1616</v>
      </c>
      <c r="E28" s="1">
        <f t="shared" ca="1" si="2"/>
        <v>6257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Курьер</v>
      </c>
      <c r="C29" s="1">
        <f t="shared" ca="1" si="0"/>
        <v>1900</v>
      </c>
      <c r="D29" s="1">
        <f t="shared" ca="1" si="1"/>
        <v>1954</v>
      </c>
      <c r="E29" s="1">
        <f t="shared" ca="1" si="2"/>
        <v>4615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Бариста</v>
      </c>
      <c r="C30" s="1">
        <f t="shared" ca="1" si="0"/>
        <v>1900</v>
      </c>
      <c r="D30" s="1">
        <f t="shared" ca="1" si="1"/>
        <v>2665</v>
      </c>
      <c r="E30" s="1">
        <f t="shared" ca="1" si="2"/>
        <v>3854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Курьер</v>
      </c>
      <c r="C31" s="1">
        <f t="shared" ca="1" si="0"/>
        <v>3889</v>
      </c>
      <c r="D31" s="1">
        <f t="shared" ca="1" si="1"/>
        <v>1818</v>
      </c>
      <c r="E31" s="1">
        <f t="shared" ca="1" si="2"/>
        <v>4565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A70C-65C8-42B7-834F-5168E3C719B8}">
  <dimension ref="A1:L31"/>
  <sheetViews>
    <sheetView workbookViewId="0">
      <selection activeCell="E3" sqref="E2:E3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1" t="str" cm="1">
        <f t="array" aca="1" ref="B2" ca="1">INDEX($K$2:$K$6, RANDBETWEEN(1, COUNTA($K$2:$K$6)))</f>
        <v>Админимстратор</v>
      </c>
      <c r="C2" s="1">
        <f ca="1">VLOOKUP(B2, $K$2:$L$6, 2,0)</f>
        <v>3456</v>
      </c>
      <c r="D2" s="1">
        <f ca="1">RANDBETWEEN(1500,3400)</f>
        <v>2386</v>
      </c>
      <c r="E2" s="1">
        <f ca="1">C2+D2</f>
        <v>5842</v>
      </c>
      <c r="K2" s="1" t="s">
        <v>5</v>
      </c>
      <c r="L2" s="1">
        <v>1234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Директор</v>
      </c>
      <c r="C3" s="1">
        <f ca="1">VLOOKUP(B3, $K$2:$L$6, 2,0)</f>
        <v>1234</v>
      </c>
      <c r="D3" s="1">
        <f ca="1">RANDBETWEEN(1500,3400)</f>
        <v>2266</v>
      </c>
      <c r="E3" s="1">
        <f ca="1">C3+D3</f>
        <v>3500</v>
      </c>
      <c r="K3" s="1" t="s">
        <v>6</v>
      </c>
      <c r="L3" s="1">
        <v>3456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Админимстратор</v>
      </c>
      <c r="C4" s="1">
        <f t="shared" ref="C4:C31" ca="1" si="0">VLOOKUP(B3, $K$2:$L$6, 2,0)</f>
        <v>1234</v>
      </c>
      <c r="D4" s="1">
        <f t="shared" ref="D4:D31" ca="1" si="1">RANDBETWEEN(1500,3400)</f>
        <v>3005</v>
      </c>
      <c r="E4" s="1">
        <f t="shared" ref="E4:E31" ca="1" si="2">C3+D3</f>
        <v>3500</v>
      </c>
      <c r="K4" s="1" t="s">
        <v>7</v>
      </c>
      <c r="L4" s="1">
        <v>1333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Директор</v>
      </c>
      <c r="C5" s="1">
        <f t="shared" ca="1" si="0"/>
        <v>3456</v>
      </c>
      <c r="D5" s="1">
        <f t="shared" ca="1" si="1"/>
        <v>2649</v>
      </c>
      <c r="E5" s="1">
        <f t="shared" ca="1" si="2"/>
        <v>4239</v>
      </c>
      <c r="K5" s="1" t="s">
        <v>8</v>
      </c>
      <c r="L5" s="1">
        <v>1200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Директор</v>
      </c>
      <c r="C6" s="1">
        <f t="shared" ca="1" si="0"/>
        <v>1234</v>
      </c>
      <c r="D6" s="1">
        <f t="shared" ca="1" si="1"/>
        <v>1502</v>
      </c>
      <c r="E6" s="1">
        <f t="shared" ca="1" si="2"/>
        <v>6105</v>
      </c>
      <c r="K6" s="1" t="s">
        <v>9</v>
      </c>
      <c r="L6" s="1">
        <v>1000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Бариста</v>
      </c>
      <c r="C7" s="1">
        <f t="shared" ca="1" si="0"/>
        <v>1234</v>
      </c>
      <c r="D7" s="1">
        <f t="shared" ca="1" si="1"/>
        <v>1606</v>
      </c>
      <c r="E7" s="1">
        <f t="shared" ca="1" si="2"/>
        <v>2736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Бариста</v>
      </c>
      <c r="C8" s="1">
        <f t="shared" ca="1" si="0"/>
        <v>1333</v>
      </c>
      <c r="D8" s="1">
        <f t="shared" ca="1" si="1"/>
        <v>3107</v>
      </c>
      <c r="E8" s="1">
        <f t="shared" ca="1" si="2"/>
        <v>2840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Бариста</v>
      </c>
      <c r="C9" s="1">
        <f t="shared" ca="1" si="0"/>
        <v>1333</v>
      </c>
      <c r="D9" s="1">
        <f t="shared" ca="1" si="1"/>
        <v>1990</v>
      </c>
      <c r="E9" s="1">
        <f t="shared" ca="1" si="2"/>
        <v>4440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Админимстратор</v>
      </c>
      <c r="C10" s="1">
        <f t="shared" ca="1" si="0"/>
        <v>1333</v>
      </c>
      <c r="D10" s="1">
        <f t="shared" ca="1" si="1"/>
        <v>1932</v>
      </c>
      <c r="E10" s="1">
        <f t="shared" ca="1" si="2"/>
        <v>3323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Директор</v>
      </c>
      <c r="C11" s="1">
        <f t="shared" ca="1" si="0"/>
        <v>3456</v>
      </c>
      <c r="D11" s="1">
        <f t="shared" ca="1" si="1"/>
        <v>3020</v>
      </c>
      <c r="E11" s="1">
        <f t="shared" ca="1" si="2"/>
        <v>3265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Уборщик</v>
      </c>
      <c r="C12" s="1">
        <f t="shared" ca="1" si="0"/>
        <v>1234</v>
      </c>
      <c r="D12" s="1">
        <f t="shared" ca="1" si="1"/>
        <v>1765</v>
      </c>
      <c r="E12" s="1">
        <f t="shared" ca="1" si="2"/>
        <v>6476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Уборщик</v>
      </c>
      <c r="C13" s="1">
        <f t="shared" ca="1" si="0"/>
        <v>1200</v>
      </c>
      <c r="D13" s="1">
        <f t="shared" ca="1" si="1"/>
        <v>3074</v>
      </c>
      <c r="E13" s="1">
        <f t="shared" ca="1" si="2"/>
        <v>2999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Админимстратор</v>
      </c>
      <c r="C14" s="1">
        <f t="shared" ca="1" si="0"/>
        <v>1200</v>
      </c>
      <c r="D14" s="1">
        <f t="shared" ca="1" si="1"/>
        <v>2214</v>
      </c>
      <c r="E14" s="1">
        <f t="shared" ca="1" si="2"/>
        <v>4274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Бариста</v>
      </c>
      <c r="C15" s="1">
        <f t="shared" ca="1" si="0"/>
        <v>3456</v>
      </c>
      <c r="D15" s="1">
        <f t="shared" ca="1" si="1"/>
        <v>2740</v>
      </c>
      <c r="E15" s="1">
        <f t="shared" ca="1" si="2"/>
        <v>3414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Директор</v>
      </c>
      <c r="C16" s="1">
        <f t="shared" ca="1" si="0"/>
        <v>1333</v>
      </c>
      <c r="D16" s="1">
        <f t="shared" ca="1" si="1"/>
        <v>1504</v>
      </c>
      <c r="E16" s="1">
        <f t="shared" ca="1" si="2"/>
        <v>6196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Уборщик</v>
      </c>
      <c r="C17" s="1">
        <f t="shared" ca="1" si="0"/>
        <v>1234</v>
      </c>
      <c r="D17" s="1">
        <f t="shared" ca="1" si="1"/>
        <v>2164</v>
      </c>
      <c r="E17" s="1">
        <f t="shared" ca="1" si="2"/>
        <v>2837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Бариста</v>
      </c>
      <c r="C18" s="1">
        <f t="shared" ca="1" si="0"/>
        <v>1200</v>
      </c>
      <c r="D18" s="1">
        <f t="shared" ca="1" si="1"/>
        <v>2093</v>
      </c>
      <c r="E18" s="1">
        <f t="shared" ca="1" si="2"/>
        <v>3398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Директор</v>
      </c>
      <c r="C19" s="1">
        <f t="shared" ca="1" si="0"/>
        <v>1333</v>
      </c>
      <c r="D19" s="1">
        <f t="shared" ca="1" si="1"/>
        <v>2641</v>
      </c>
      <c r="E19" s="1">
        <f t="shared" ca="1" si="2"/>
        <v>3293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Курьер</v>
      </c>
      <c r="C20" s="1">
        <f t="shared" ca="1" si="0"/>
        <v>1234</v>
      </c>
      <c r="D20" s="1">
        <f t="shared" ca="1" si="1"/>
        <v>1790</v>
      </c>
      <c r="E20" s="1">
        <f t="shared" ca="1" si="2"/>
        <v>3974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Админимстратор</v>
      </c>
      <c r="C21" s="1">
        <f t="shared" ca="1" si="0"/>
        <v>1000</v>
      </c>
      <c r="D21" s="1">
        <f t="shared" ca="1" si="1"/>
        <v>3381</v>
      </c>
      <c r="E21" s="1">
        <f t="shared" ca="1" si="2"/>
        <v>3024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Админимстратор</v>
      </c>
      <c r="C22" s="1">
        <f t="shared" ca="1" si="0"/>
        <v>3456</v>
      </c>
      <c r="D22" s="1">
        <f t="shared" ca="1" si="1"/>
        <v>2485</v>
      </c>
      <c r="E22" s="1">
        <f t="shared" ca="1" si="2"/>
        <v>4381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Бариста</v>
      </c>
      <c r="C23" s="1">
        <f t="shared" ca="1" si="0"/>
        <v>3456</v>
      </c>
      <c r="D23" s="1">
        <f t="shared" ca="1" si="1"/>
        <v>2089</v>
      </c>
      <c r="E23" s="1">
        <f t="shared" ca="1" si="2"/>
        <v>5941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Админимстратор</v>
      </c>
      <c r="C24" s="1">
        <f t="shared" ca="1" si="0"/>
        <v>1333</v>
      </c>
      <c r="D24" s="1">
        <f t="shared" ca="1" si="1"/>
        <v>2298</v>
      </c>
      <c r="E24" s="1">
        <f t="shared" ca="1" si="2"/>
        <v>5545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Бариста</v>
      </c>
      <c r="C25" s="1">
        <f t="shared" ca="1" si="0"/>
        <v>3456</v>
      </c>
      <c r="D25" s="1">
        <f t="shared" ca="1" si="1"/>
        <v>2208</v>
      </c>
      <c r="E25" s="1">
        <f t="shared" ca="1" si="2"/>
        <v>3631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Админимстратор</v>
      </c>
      <c r="C26" s="1">
        <f t="shared" ca="1" si="0"/>
        <v>1333</v>
      </c>
      <c r="D26" s="1">
        <f t="shared" ca="1" si="1"/>
        <v>1580</v>
      </c>
      <c r="E26" s="1">
        <f t="shared" ca="1" si="2"/>
        <v>5664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Уборщик</v>
      </c>
      <c r="C27" s="1">
        <f t="shared" ca="1" si="0"/>
        <v>3456</v>
      </c>
      <c r="D27" s="1">
        <f t="shared" ca="1" si="1"/>
        <v>3342</v>
      </c>
      <c r="E27" s="1">
        <f t="shared" ca="1" si="2"/>
        <v>2913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Бариста</v>
      </c>
      <c r="C28" s="1">
        <f t="shared" ca="1" si="0"/>
        <v>1200</v>
      </c>
      <c r="D28" s="1">
        <f t="shared" ca="1" si="1"/>
        <v>2263</v>
      </c>
      <c r="E28" s="1">
        <f t="shared" ca="1" si="2"/>
        <v>6798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Директор</v>
      </c>
      <c r="C29" s="1">
        <f t="shared" ca="1" si="0"/>
        <v>1333</v>
      </c>
      <c r="D29" s="1">
        <f t="shared" ca="1" si="1"/>
        <v>2179</v>
      </c>
      <c r="E29" s="1">
        <f t="shared" ca="1" si="2"/>
        <v>3463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Бариста</v>
      </c>
      <c r="C30" s="1">
        <f t="shared" ca="1" si="0"/>
        <v>1234</v>
      </c>
      <c r="D30" s="1">
        <f t="shared" ca="1" si="1"/>
        <v>2924</v>
      </c>
      <c r="E30" s="1">
        <f t="shared" ca="1" si="2"/>
        <v>3512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Бариста</v>
      </c>
      <c r="C31" s="1">
        <f t="shared" ca="1" si="0"/>
        <v>1333</v>
      </c>
      <c r="D31" s="1">
        <f t="shared" ca="1" si="1"/>
        <v>2652</v>
      </c>
      <c r="E31" s="1">
        <f t="shared" ca="1" si="2"/>
        <v>4158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B68D-2EED-47AE-832A-2A7943E48BE0}">
  <dimension ref="A1:L31"/>
  <sheetViews>
    <sheetView workbookViewId="0">
      <selection activeCell="E3" sqref="E2:E3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1" t="str" cm="1">
        <f t="array" aca="1" ref="B2" ca="1">INDEX($K$2:$K$6, RANDBETWEEN(1, COUNTA($K$2:$K$6)))</f>
        <v>Админимстратор</v>
      </c>
      <c r="C2" s="1">
        <f ca="1">VLOOKUP(B2, $K$2:$L$6, 2,0)</f>
        <v>2784</v>
      </c>
      <c r="D2" s="1">
        <f ca="1">RANDBETWEEN(1500,3400)</f>
        <v>2593</v>
      </c>
      <c r="E2" s="1">
        <f ca="1">C2+D2</f>
        <v>5377</v>
      </c>
      <c r="K2" s="1" t="s">
        <v>5</v>
      </c>
      <c r="L2" s="1">
        <v>3399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Директор</v>
      </c>
      <c r="C3" s="1">
        <f ca="1">VLOOKUP(B3, $K$2:$L$6, 2,0)</f>
        <v>3399</v>
      </c>
      <c r="D3" s="1">
        <f ca="1">RANDBETWEEN(1500,3400)</f>
        <v>3156</v>
      </c>
      <c r="E3" s="1">
        <f ca="1">C3+D3</f>
        <v>6555</v>
      </c>
      <c r="K3" s="1" t="s">
        <v>6</v>
      </c>
      <c r="L3" s="1">
        <v>2784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Курьер</v>
      </c>
      <c r="C4" s="1">
        <f t="shared" ref="C4:C31" ca="1" si="0">VLOOKUP(B3, $K$2:$L$6, 2,0)</f>
        <v>3399</v>
      </c>
      <c r="D4" s="1">
        <f t="shared" ref="D4:D31" ca="1" si="1">RANDBETWEEN(1500,3400)</f>
        <v>1762</v>
      </c>
      <c r="E4" s="1">
        <f t="shared" ref="E4:E31" ca="1" si="2">C3+D3</f>
        <v>6555</v>
      </c>
      <c r="K4" s="1" t="s">
        <v>7</v>
      </c>
      <c r="L4" s="1">
        <v>2534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Админимстратор</v>
      </c>
      <c r="C5" s="1">
        <f t="shared" ca="1" si="0"/>
        <v>1200</v>
      </c>
      <c r="D5" s="1">
        <f t="shared" ca="1" si="1"/>
        <v>2330</v>
      </c>
      <c r="E5" s="1">
        <f t="shared" ca="1" si="2"/>
        <v>5161</v>
      </c>
      <c r="K5" s="1" t="s">
        <v>8</v>
      </c>
      <c r="L5" s="1">
        <v>1356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Курьер</v>
      </c>
      <c r="C6" s="1">
        <f t="shared" ca="1" si="0"/>
        <v>2784</v>
      </c>
      <c r="D6" s="1">
        <f t="shared" ca="1" si="1"/>
        <v>1745</v>
      </c>
      <c r="E6" s="1">
        <f t="shared" ca="1" si="2"/>
        <v>3530</v>
      </c>
      <c r="K6" s="1" t="s">
        <v>9</v>
      </c>
      <c r="L6" s="1">
        <v>1200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Уборщик</v>
      </c>
      <c r="C7" s="1">
        <f t="shared" ca="1" si="0"/>
        <v>1200</v>
      </c>
      <c r="D7" s="1">
        <f t="shared" ca="1" si="1"/>
        <v>2979</v>
      </c>
      <c r="E7" s="1">
        <f t="shared" ca="1" si="2"/>
        <v>4529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Директор</v>
      </c>
      <c r="C8" s="1">
        <f t="shared" ca="1" si="0"/>
        <v>1356</v>
      </c>
      <c r="D8" s="1">
        <f t="shared" ca="1" si="1"/>
        <v>2820</v>
      </c>
      <c r="E8" s="1">
        <f t="shared" ca="1" si="2"/>
        <v>4179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Курьер</v>
      </c>
      <c r="C9" s="1">
        <f t="shared" ca="1" si="0"/>
        <v>3399</v>
      </c>
      <c r="D9" s="1">
        <f t="shared" ca="1" si="1"/>
        <v>2947</v>
      </c>
      <c r="E9" s="1">
        <f t="shared" ca="1" si="2"/>
        <v>4176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Админимстратор</v>
      </c>
      <c r="C10" s="1">
        <f t="shared" ca="1" si="0"/>
        <v>1200</v>
      </c>
      <c r="D10" s="1">
        <f t="shared" ca="1" si="1"/>
        <v>3193</v>
      </c>
      <c r="E10" s="1">
        <f t="shared" ca="1" si="2"/>
        <v>6346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Уборщик</v>
      </c>
      <c r="C11" s="1">
        <f t="shared" ca="1" si="0"/>
        <v>2784</v>
      </c>
      <c r="D11" s="1">
        <f t="shared" ca="1" si="1"/>
        <v>1702</v>
      </c>
      <c r="E11" s="1">
        <f t="shared" ca="1" si="2"/>
        <v>4393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Админимстратор</v>
      </c>
      <c r="C12" s="1">
        <f t="shared" ca="1" si="0"/>
        <v>1356</v>
      </c>
      <c r="D12" s="1">
        <f t="shared" ca="1" si="1"/>
        <v>2499</v>
      </c>
      <c r="E12" s="1">
        <f t="shared" ca="1" si="2"/>
        <v>4486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Уборщик</v>
      </c>
      <c r="C13" s="1">
        <f t="shared" ca="1" si="0"/>
        <v>2784</v>
      </c>
      <c r="D13" s="1">
        <f t="shared" ca="1" si="1"/>
        <v>2431</v>
      </c>
      <c r="E13" s="1">
        <f t="shared" ca="1" si="2"/>
        <v>3855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Курьер</v>
      </c>
      <c r="C14" s="1">
        <f t="shared" ca="1" si="0"/>
        <v>1356</v>
      </c>
      <c r="D14" s="1">
        <f t="shared" ca="1" si="1"/>
        <v>3128</v>
      </c>
      <c r="E14" s="1">
        <f t="shared" ca="1" si="2"/>
        <v>5215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Уборщик</v>
      </c>
      <c r="C15" s="1">
        <f t="shared" ca="1" si="0"/>
        <v>1200</v>
      </c>
      <c r="D15" s="1">
        <f t="shared" ca="1" si="1"/>
        <v>2597</v>
      </c>
      <c r="E15" s="1">
        <f t="shared" ca="1" si="2"/>
        <v>4484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Курьер</v>
      </c>
      <c r="C16" s="1">
        <f t="shared" ca="1" si="0"/>
        <v>1356</v>
      </c>
      <c r="D16" s="1">
        <f t="shared" ca="1" si="1"/>
        <v>2683</v>
      </c>
      <c r="E16" s="1">
        <f t="shared" ca="1" si="2"/>
        <v>3797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Курьер</v>
      </c>
      <c r="C17" s="1">
        <f t="shared" ca="1" si="0"/>
        <v>1200</v>
      </c>
      <c r="D17" s="1">
        <f t="shared" ca="1" si="1"/>
        <v>2614</v>
      </c>
      <c r="E17" s="1">
        <f t="shared" ca="1" si="2"/>
        <v>4039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Уборщик</v>
      </c>
      <c r="C18" s="1">
        <f t="shared" ca="1" si="0"/>
        <v>1200</v>
      </c>
      <c r="D18" s="1">
        <f t="shared" ca="1" si="1"/>
        <v>1511</v>
      </c>
      <c r="E18" s="1">
        <f t="shared" ca="1" si="2"/>
        <v>3814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Уборщик</v>
      </c>
      <c r="C19" s="1">
        <f t="shared" ca="1" si="0"/>
        <v>1356</v>
      </c>
      <c r="D19" s="1">
        <f t="shared" ca="1" si="1"/>
        <v>3089</v>
      </c>
      <c r="E19" s="1">
        <f t="shared" ca="1" si="2"/>
        <v>2711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Бариста</v>
      </c>
      <c r="C20" s="1">
        <f t="shared" ca="1" si="0"/>
        <v>1356</v>
      </c>
      <c r="D20" s="1">
        <f t="shared" ca="1" si="1"/>
        <v>1967</v>
      </c>
      <c r="E20" s="1">
        <f t="shared" ca="1" si="2"/>
        <v>4445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Админимстратор</v>
      </c>
      <c r="C21" s="1">
        <f t="shared" ca="1" si="0"/>
        <v>2534</v>
      </c>
      <c r="D21" s="1">
        <f t="shared" ca="1" si="1"/>
        <v>2426</v>
      </c>
      <c r="E21" s="1">
        <f t="shared" ca="1" si="2"/>
        <v>3323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Админимстратор</v>
      </c>
      <c r="C22" s="1">
        <f t="shared" ca="1" si="0"/>
        <v>2784</v>
      </c>
      <c r="D22" s="1">
        <f t="shared" ca="1" si="1"/>
        <v>2524</v>
      </c>
      <c r="E22" s="1">
        <f t="shared" ca="1" si="2"/>
        <v>4960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Бариста</v>
      </c>
      <c r="C23" s="1">
        <f t="shared" ca="1" si="0"/>
        <v>2784</v>
      </c>
      <c r="D23" s="1">
        <f t="shared" ca="1" si="1"/>
        <v>3012</v>
      </c>
      <c r="E23" s="1">
        <f t="shared" ca="1" si="2"/>
        <v>5308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Бариста</v>
      </c>
      <c r="C24" s="1">
        <f t="shared" ca="1" si="0"/>
        <v>2534</v>
      </c>
      <c r="D24" s="1">
        <f t="shared" ca="1" si="1"/>
        <v>2121</v>
      </c>
      <c r="E24" s="1">
        <f t="shared" ca="1" si="2"/>
        <v>5796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Курьер</v>
      </c>
      <c r="C25" s="1">
        <f t="shared" ca="1" si="0"/>
        <v>2534</v>
      </c>
      <c r="D25" s="1">
        <f t="shared" ca="1" si="1"/>
        <v>2768</v>
      </c>
      <c r="E25" s="1">
        <f t="shared" ca="1" si="2"/>
        <v>4655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Бариста</v>
      </c>
      <c r="C26" s="1">
        <f t="shared" ca="1" si="0"/>
        <v>1200</v>
      </c>
      <c r="D26" s="1">
        <f t="shared" ca="1" si="1"/>
        <v>2929</v>
      </c>
      <c r="E26" s="1">
        <f t="shared" ca="1" si="2"/>
        <v>5302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Уборщик</v>
      </c>
      <c r="C27" s="1">
        <f t="shared" ca="1" si="0"/>
        <v>2534</v>
      </c>
      <c r="D27" s="1">
        <f t="shared" ca="1" si="1"/>
        <v>2237</v>
      </c>
      <c r="E27" s="1">
        <f t="shared" ca="1" si="2"/>
        <v>4129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Админимстратор</v>
      </c>
      <c r="C28" s="1">
        <f t="shared" ca="1" si="0"/>
        <v>1356</v>
      </c>
      <c r="D28" s="1">
        <f t="shared" ca="1" si="1"/>
        <v>3242</v>
      </c>
      <c r="E28" s="1">
        <f t="shared" ca="1" si="2"/>
        <v>4771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Курьер</v>
      </c>
      <c r="C29" s="1">
        <f t="shared" ca="1" si="0"/>
        <v>2784</v>
      </c>
      <c r="D29" s="1">
        <f t="shared" ca="1" si="1"/>
        <v>2085</v>
      </c>
      <c r="E29" s="1">
        <f t="shared" ca="1" si="2"/>
        <v>4598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Бариста</v>
      </c>
      <c r="C30" s="1">
        <f t="shared" ca="1" si="0"/>
        <v>1200</v>
      </c>
      <c r="D30" s="1">
        <f t="shared" ca="1" si="1"/>
        <v>2891</v>
      </c>
      <c r="E30" s="1">
        <f t="shared" ca="1" si="2"/>
        <v>4869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Курьер</v>
      </c>
      <c r="C31" s="1">
        <f t="shared" ca="1" si="0"/>
        <v>2534</v>
      </c>
      <c r="D31" s="1">
        <f t="shared" ca="1" si="1"/>
        <v>1664</v>
      </c>
      <c r="E31" s="1">
        <f t="shared" ca="1" si="2"/>
        <v>4091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C693-EB49-41AD-B248-98D22E7D9E81}">
  <dimension ref="A1:L31"/>
  <sheetViews>
    <sheetView workbookViewId="0">
      <selection activeCell="I21" sqref="I21"/>
    </sheetView>
  </sheetViews>
  <sheetFormatPr defaultRowHeight="15" x14ac:dyDescent="0.25"/>
  <cols>
    <col min="1" max="1" width="20.5703125" customWidth="1"/>
    <col min="2" max="2" width="35.42578125" customWidth="1"/>
    <col min="3" max="3" width="17" customWidth="1"/>
    <col min="4" max="4" width="17.7109375" customWidth="1"/>
    <col min="5" max="5" width="18.42578125" customWidth="1"/>
    <col min="11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 x14ac:dyDescent="0.25">
      <c r="A2" s="1" t="s">
        <v>10</v>
      </c>
      <c r="B2" s="1" t="str" cm="1">
        <f t="array" aca="1" ref="B2" ca="1">INDEX($K$2:$K$6, RANDBETWEEN(1, COUNTA($K$2:$K$6)))</f>
        <v>Курьер</v>
      </c>
      <c r="C2" s="1">
        <f ca="1">VLOOKUP(B2, $K$2:$L$6, 2,0)</f>
        <v>1000</v>
      </c>
      <c r="D2" s="1">
        <f ca="1">RANDBETWEEN(1500,3400)</f>
        <v>3264</v>
      </c>
      <c r="E2" s="1">
        <f ca="1">C2+D2</f>
        <v>4264</v>
      </c>
      <c r="K2" s="1" t="s">
        <v>5</v>
      </c>
      <c r="L2" s="1">
        <v>5000</v>
      </c>
    </row>
    <row r="3" spans="1:12" x14ac:dyDescent="0.25">
      <c r="A3" s="1" t="s">
        <v>11</v>
      </c>
      <c r="B3" s="1" t="str" cm="1">
        <f t="array" aca="1" ref="B3" ca="1">INDEX($K$2:$K$6, RANDBETWEEN(1, COUNTA($K$2:$K$6)))</f>
        <v>Бариста</v>
      </c>
      <c r="C3" s="1">
        <f ca="1">VLOOKUP(B3, $K$2:$L$6, 2,0)</f>
        <v>3000</v>
      </c>
      <c r="D3" s="1">
        <f ca="1">RANDBETWEEN(1500,3400)</f>
        <v>3140</v>
      </c>
      <c r="E3" s="1">
        <f ca="1">C3+D3</f>
        <v>6140</v>
      </c>
      <c r="K3" s="1" t="s">
        <v>6</v>
      </c>
      <c r="L3" s="1">
        <v>4000</v>
      </c>
    </row>
    <row r="4" spans="1:12" x14ac:dyDescent="0.25">
      <c r="A4" s="1" t="s">
        <v>12</v>
      </c>
      <c r="B4" s="1" t="str" cm="1">
        <f t="array" aca="1" ref="B4" ca="1">INDEX($K$2:$K$6, RANDBETWEEN(1, COUNTA($K$2:$K$6)))</f>
        <v>Бариста</v>
      </c>
      <c r="C4" s="1">
        <f t="shared" ref="C4:C31" ca="1" si="0">VLOOKUP(B3, $K$2:$L$6, 2,0)</f>
        <v>3000</v>
      </c>
      <c r="D4" s="1">
        <f t="shared" ref="D4:D31" ca="1" si="1">RANDBETWEEN(1500,3400)</f>
        <v>3183</v>
      </c>
      <c r="E4" s="1">
        <f t="shared" ref="E4:E31" ca="1" si="2">C3+D3</f>
        <v>6140</v>
      </c>
      <c r="K4" s="1" t="s">
        <v>7</v>
      </c>
      <c r="L4" s="1">
        <v>3000</v>
      </c>
    </row>
    <row r="5" spans="1:12" x14ac:dyDescent="0.25">
      <c r="A5" s="1" t="s">
        <v>13</v>
      </c>
      <c r="B5" s="1" t="str" cm="1">
        <f t="array" aca="1" ref="B5" ca="1">INDEX($K$2:$K$6, RANDBETWEEN(1, COUNTA($K$2:$K$6)))</f>
        <v>Уборщик</v>
      </c>
      <c r="C5" s="1">
        <f t="shared" ca="1" si="0"/>
        <v>3000</v>
      </c>
      <c r="D5" s="1">
        <f t="shared" ca="1" si="1"/>
        <v>1713</v>
      </c>
      <c r="E5" s="1">
        <f t="shared" ca="1" si="2"/>
        <v>6183</v>
      </c>
      <c r="K5" s="1" t="s">
        <v>8</v>
      </c>
      <c r="L5" s="1">
        <v>2000</v>
      </c>
    </row>
    <row r="6" spans="1:12" x14ac:dyDescent="0.25">
      <c r="A6" s="1" t="s">
        <v>14</v>
      </c>
      <c r="B6" s="1" t="str" cm="1">
        <f t="array" aca="1" ref="B6" ca="1">INDEX($K$2:$K$6, RANDBETWEEN(1, COUNTA($K$2:$K$6)))</f>
        <v>Директор</v>
      </c>
      <c r="C6" s="1">
        <f t="shared" ca="1" si="0"/>
        <v>2000</v>
      </c>
      <c r="D6" s="1">
        <f t="shared" ca="1" si="1"/>
        <v>3241</v>
      </c>
      <c r="E6" s="1">
        <f t="shared" ca="1" si="2"/>
        <v>4713</v>
      </c>
      <c r="K6" s="1" t="s">
        <v>9</v>
      </c>
      <c r="L6" s="1">
        <v>1000</v>
      </c>
    </row>
    <row r="7" spans="1:12" x14ac:dyDescent="0.25">
      <c r="A7" s="1" t="s">
        <v>15</v>
      </c>
      <c r="B7" s="1" t="str" cm="1">
        <f t="array" aca="1" ref="B7" ca="1">INDEX($K$2:$K$6, RANDBETWEEN(1, COUNTA($K$2:$K$6)))</f>
        <v>Директор</v>
      </c>
      <c r="C7" s="1">
        <f t="shared" ca="1" si="0"/>
        <v>5000</v>
      </c>
      <c r="D7" s="1">
        <f t="shared" ca="1" si="1"/>
        <v>3285</v>
      </c>
      <c r="E7" s="1">
        <f t="shared" ca="1" si="2"/>
        <v>5241</v>
      </c>
    </row>
    <row r="8" spans="1:12" x14ac:dyDescent="0.25">
      <c r="A8" s="1" t="s">
        <v>16</v>
      </c>
      <c r="B8" s="1" t="str" cm="1">
        <f t="array" aca="1" ref="B8" ca="1">INDEX($K$2:$K$6, RANDBETWEEN(1, COUNTA($K$2:$K$6)))</f>
        <v>Админимстратор</v>
      </c>
      <c r="C8" s="1">
        <f t="shared" ca="1" si="0"/>
        <v>5000</v>
      </c>
      <c r="D8" s="1">
        <f t="shared" ca="1" si="1"/>
        <v>2470</v>
      </c>
      <c r="E8" s="1">
        <f t="shared" ca="1" si="2"/>
        <v>8285</v>
      </c>
    </row>
    <row r="9" spans="1:12" x14ac:dyDescent="0.25">
      <c r="A9" s="1" t="s">
        <v>17</v>
      </c>
      <c r="B9" s="1" t="str" cm="1">
        <f t="array" aca="1" ref="B9" ca="1">INDEX($K$2:$K$6, RANDBETWEEN(1, COUNTA($K$2:$K$6)))</f>
        <v>Админимстратор</v>
      </c>
      <c r="C9" s="1">
        <f t="shared" ca="1" si="0"/>
        <v>4000</v>
      </c>
      <c r="D9" s="1">
        <f t="shared" ca="1" si="1"/>
        <v>1574</v>
      </c>
      <c r="E9" s="1">
        <f t="shared" ca="1" si="2"/>
        <v>7470</v>
      </c>
    </row>
    <row r="10" spans="1:12" x14ac:dyDescent="0.25">
      <c r="A10" s="1" t="s">
        <v>18</v>
      </c>
      <c r="B10" s="1" t="str" cm="1">
        <f t="array" aca="1" ref="B10" ca="1">INDEX($K$2:$K$6, RANDBETWEEN(1, COUNTA($K$2:$K$6)))</f>
        <v>Админимстратор</v>
      </c>
      <c r="C10" s="1">
        <f t="shared" ca="1" si="0"/>
        <v>4000</v>
      </c>
      <c r="D10" s="1">
        <f t="shared" ca="1" si="1"/>
        <v>3224</v>
      </c>
      <c r="E10" s="1">
        <f t="shared" ca="1" si="2"/>
        <v>5574</v>
      </c>
    </row>
    <row r="11" spans="1:12" x14ac:dyDescent="0.25">
      <c r="A11" s="1" t="s">
        <v>19</v>
      </c>
      <c r="B11" s="1" t="str" cm="1">
        <f t="array" aca="1" ref="B11" ca="1">INDEX($K$2:$K$6, RANDBETWEEN(1, COUNTA($K$2:$K$6)))</f>
        <v>Директор</v>
      </c>
      <c r="C11" s="1">
        <f t="shared" ca="1" si="0"/>
        <v>4000</v>
      </c>
      <c r="D11" s="1">
        <f t="shared" ca="1" si="1"/>
        <v>2249</v>
      </c>
      <c r="E11" s="1">
        <f t="shared" ca="1" si="2"/>
        <v>7224</v>
      </c>
    </row>
    <row r="12" spans="1:12" x14ac:dyDescent="0.25">
      <c r="A12" s="1" t="s">
        <v>20</v>
      </c>
      <c r="B12" s="1" t="str" cm="1">
        <f t="array" aca="1" ref="B12" ca="1">INDEX($K$2:$K$6, RANDBETWEEN(1, COUNTA($K$2:$K$6)))</f>
        <v>Курьер</v>
      </c>
      <c r="C12" s="1">
        <f t="shared" ca="1" si="0"/>
        <v>5000</v>
      </c>
      <c r="D12" s="1">
        <f t="shared" ca="1" si="1"/>
        <v>1688</v>
      </c>
      <c r="E12" s="1">
        <f t="shared" ca="1" si="2"/>
        <v>6249</v>
      </c>
    </row>
    <row r="13" spans="1:12" x14ac:dyDescent="0.25">
      <c r="A13" s="1" t="s">
        <v>21</v>
      </c>
      <c r="B13" s="1" t="str" cm="1">
        <f t="array" aca="1" ref="B13" ca="1">INDEX($K$2:$K$6, RANDBETWEEN(1, COUNTA($K$2:$K$6)))</f>
        <v>Админимстратор</v>
      </c>
      <c r="C13" s="1">
        <f t="shared" ca="1" si="0"/>
        <v>1000</v>
      </c>
      <c r="D13" s="1">
        <f t="shared" ca="1" si="1"/>
        <v>2500</v>
      </c>
      <c r="E13" s="1">
        <f t="shared" ca="1" si="2"/>
        <v>6688</v>
      </c>
    </row>
    <row r="14" spans="1:12" x14ac:dyDescent="0.25">
      <c r="A14" s="1" t="s">
        <v>22</v>
      </c>
      <c r="B14" s="1" t="str" cm="1">
        <f t="array" aca="1" ref="B14" ca="1">INDEX($K$2:$K$6, RANDBETWEEN(1, COUNTA($K$2:$K$6)))</f>
        <v>Админимстратор</v>
      </c>
      <c r="C14" s="1">
        <f t="shared" ca="1" si="0"/>
        <v>4000</v>
      </c>
      <c r="D14" s="1">
        <f t="shared" ca="1" si="1"/>
        <v>1967</v>
      </c>
      <c r="E14" s="1">
        <f t="shared" ca="1" si="2"/>
        <v>3500</v>
      </c>
    </row>
    <row r="15" spans="1:12" x14ac:dyDescent="0.25">
      <c r="A15" s="1" t="s">
        <v>23</v>
      </c>
      <c r="B15" s="1" t="str" cm="1">
        <f t="array" aca="1" ref="B15" ca="1">INDEX($K$2:$K$6, RANDBETWEEN(1, COUNTA($K$2:$K$6)))</f>
        <v>Бариста</v>
      </c>
      <c r="C15" s="1">
        <f t="shared" ca="1" si="0"/>
        <v>4000</v>
      </c>
      <c r="D15" s="1">
        <f t="shared" ca="1" si="1"/>
        <v>1644</v>
      </c>
      <c r="E15" s="1">
        <f t="shared" ca="1" si="2"/>
        <v>5967</v>
      </c>
    </row>
    <row r="16" spans="1:12" x14ac:dyDescent="0.25">
      <c r="A16" s="1" t="s">
        <v>24</v>
      </c>
      <c r="B16" s="1" t="str" cm="1">
        <f t="array" aca="1" ref="B16" ca="1">INDEX($K$2:$K$6, RANDBETWEEN(1, COUNTA($K$2:$K$6)))</f>
        <v>Админимстратор</v>
      </c>
      <c r="C16" s="1">
        <f t="shared" ca="1" si="0"/>
        <v>3000</v>
      </c>
      <c r="D16" s="1">
        <f t="shared" ca="1" si="1"/>
        <v>1577</v>
      </c>
      <c r="E16" s="1">
        <f t="shared" ca="1" si="2"/>
        <v>5644</v>
      </c>
    </row>
    <row r="17" spans="1:5" x14ac:dyDescent="0.25">
      <c r="A17" s="1" t="s">
        <v>25</v>
      </c>
      <c r="B17" s="1" t="str" cm="1">
        <f t="array" aca="1" ref="B17" ca="1">INDEX($K$2:$K$6, RANDBETWEEN(1, COUNTA($K$2:$K$6)))</f>
        <v>Админимстратор</v>
      </c>
      <c r="C17" s="1">
        <f t="shared" ca="1" si="0"/>
        <v>4000</v>
      </c>
      <c r="D17" s="1">
        <f t="shared" ca="1" si="1"/>
        <v>3218</v>
      </c>
      <c r="E17" s="1">
        <f t="shared" ca="1" si="2"/>
        <v>4577</v>
      </c>
    </row>
    <row r="18" spans="1:5" x14ac:dyDescent="0.25">
      <c r="A18" s="1" t="s">
        <v>26</v>
      </c>
      <c r="B18" s="1" t="str" cm="1">
        <f t="array" aca="1" ref="B18" ca="1">INDEX($K$2:$K$6, RANDBETWEEN(1, COUNTA($K$2:$K$6)))</f>
        <v>Курьер</v>
      </c>
      <c r="C18" s="1">
        <f t="shared" ca="1" si="0"/>
        <v>4000</v>
      </c>
      <c r="D18" s="1">
        <f t="shared" ca="1" si="1"/>
        <v>1868</v>
      </c>
      <c r="E18" s="1">
        <f t="shared" ca="1" si="2"/>
        <v>7218</v>
      </c>
    </row>
    <row r="19" spans="1:5" x14ac:dyDescent="0.25">
      <c r="A19" s="1" t="s">
        <v>27</v>
      </c>
      <c r="B19" s="1" t="str" cm="1">
        <f t="array" aca="1" ref="B19" ca="1">INDEX($K$2:$K$6, RANDBETWEEN(1, COUNTA($K$2:$K$6)))</f>
        <v>Курьер</v>
      </c>
      <c r="C19" s="1">
        <f t="shared" ca="1" si="0"/>
        <v>1000</v>
      </c>
      <c r="D19" s="1">
        <f t="shared" ca="1" si="1"/>
        <v>3057</v>
      </c>
      <c r="E19" s="1">
        <f t="shared" ca="1" si="2"/>
        <v>5868</v>
      </c>
    </row>
    <row r="20" spans="1:5" x14ac:dyDescent="0.25">
      <c r="A20" s="1" t="s">
        <v>28</v>
      </c>
      <c r="B20" s="1" t="str" cm="1">
        <f t="array" aca="1" ref="B20" ca="1">INDEX($K$2:$K$6, RANDBETWEEN(1, COUNTA($K$2:$K$6)))</f>
        <v>Бариста</v>
      </c>
      <c r="C20" s="1">
        <f t="shared" ca="1" si="0"/>
        <v>1000</v>
      </c>
      <c r="D20" s="1">
        <f t="shared" ca="1" si="1"/>
        <v>1943</v>
      </c>
      <c r="E20" s="1">
        <f t="shared" ca="1" si="2"/>
        <v>4057</v>
      </c>
    </row>
    <row r="21" spans="1:5" x14ac:dyDescent="0.25">
      <c r="A21" s="1" t="s">
        <v>29</v>
      </c>
      <c r="B21" s="1" t="str" cm="1">
        <f t="array" aca="1" ref="B21" ca="1">INDEX($K$2:$K$6, RANDBETWEEN(1, COUNTA($K$2:$K$6)))</f>
        <v>Бариста</v>
      </c>
      <c r="C21" s="1">
        <f t="shared" ca="1" si="0"/>
        <v>3000</v>
      </c>
      <c r="D21" s="1">
        <f t="shared" ca="1" si="1"/>
        <v>1992</v>
      </c>
      <c r="E21" s="1">
        <f t="shared" ca="1" si="2"/>
        <v>2943</v>
      </c>
    </row>
    <row r="22" spans="1:5" x14ac:dyDescent="0.25">
      <c r="A22" s="1" t="s">
        <v>30</v>
      </c>
      <c r="B22" s="1" t="str" cm="1">
        <f t="array" aca="1" ref="B22" ca="1">INDEX($K$2:$K$6, RANDBETWEEN(1, COUNTA($K$2:$K$6)))</f>
        <v>Бариста</v>
      </c>
      <c r="C22" s="1">
        <f t="shared" ca="1" si="0"/>
        <v>3000</v>
      </c>
      <c r="D22" s="1">
        <f t="shared" ca="1" si="1"/>
        <v>1716</v>
      </c>
      <c r="E22" s="1">
        <f t="shared" ca="1" si="2"/>
        <v>4992</v>
      </c>
    </row>
    <row r="23" spans="1:5" x14ac:dyDescent="0.25">
      <c r="A23" s="1" t="s">
        <v>31</v>
      </c>
      <c r="B23" s="1" t="str" cm="1">
        <f t="array" aca="1" ref="B23" ca="1">INDEX($K$2:$K$6, RANDBETWEEN(1, COUNTA($K$2:$K$6)))</f>
        <v>Директор</v>
      </c>
      <c r="C23" s="1">
        <f t="shared" ca="1" si="0"/>
        <v>3000</v>
      </c>
      <c r="D23" s="1">
        <f t="shared" ca="1" si="1"/>
        <v>2177</v>
      </c>
      <c r="E23" s="1">
        <f t="shared" ca="1" si="2"/>
        <v>4716</v>
      </c>
    </row>
    <row r="24" spans="1:5" x14ac:dyDescent="0.25">
      <c r="A24" s="1" t="s">
        <v>32</v>
      </c>
      <c r="B24" s="1" t="str" cm="1">
        <f t="array" aca="1" ref="B24" ca="1">INDEX($K$2:$K$6, RANDBETWEEN(1, COUNTA($K$2:$K$6)))</f>
        <v>Уборщик</v>
      </c>
      <c r="C24" s="1">
        <f t="shared" ca="1" si="0"/>
        <v>5000</v>
      </c>
      <c r="D24" s="1">
        <f t="shared" ca="1" si="1"/>
        <v>3265</v>
      </c>
      <c r="E24" s="1">
        <f t="shared" ca="1" si="2"/>
        <v>5177</v>
      </c>
    </row>
    <row r="25" spans="1:5" x14ac:dyDescent="0.25">
      <c r="A25" s="1" t="s">
        <v>33</v>
      </c>
      <c r="B25" s="1" t="str" cm="1">
        <f t="array" aca="1" ref="B25" ca="1">INDEX($K$2:$K$6, RANDBETWEEN(1, COUNTA($K$2:$K$6)))</f>
        <v>Курьер</v>
      </c>
      <c r="C25" s="1">
        <f t="shared" ca="1" si="0"/>
        <v>2000</v>
      </c>
      <c r="D25" s="1">
        <f t="shared" ca="1" si="1"/>
        <v>2023</v>
      </c>
      <c r="E25" s="1">
        <f t="shared" ca="1" si="2"/>
        <v>8265</v>
      </c>
    </row>
    <row r="26" spans="1:5" x14ac:dyDescent="0.25">
      <c r="A26" s="1" t="s">
        <v>34</v>
      </c>
      <c r="B26" s="1" t="str" cm="1">
        <f t="array" aca="1" ref="B26" ca="1">INDEX($K$2:$K$6, RANDBETWEEN(1, COUNTA($K$2:$K$6)))</f>
        <v>Админимстратор</v>
      </c>
      <c r="C26" s="1">
        <f t="shared" ca="1" si="0"/>
        <v>1000</v>
      </c>
      <c r="D26" s="1">
        <f t="shared" ca="1" si="1"/>
        <v>2774</v>
      </c>
      <c r="E26" s="1">
        <f t="shared" ca="1" si="2"/>
        <v>4023</v>
      </c>
    </row>
    <row r="27" spans="1:5" x14ac:dyDescent="0.25">
      <c r="A27" s="1" t="s">
        <v>35</v>
      </c>
      <c r="B27" s="1" t="str" cm="1">
        <f t="array" aca="1" ref="B27" ca="1">INDEX($K$2:$K$6, RANDBETWEEN(1, COUNTA($K$2:$K$6)))</f>
        <v>Админимстратор</v>
      </c>
      <c r="C27" s="1">
        <f t="shared" ca="1" si="0"/>
        <v>4000</v>
      </c>
      <c r="D27" s="1">
        <f t="shared" ca="1" si="1"/>
        <v>1964</v>
      </c>
      <c r="E27" s="1">
        <f t="shared" ca="1" si="2"/>
        <v>3774</v>
      </c>
    </row>
    <row r="28" spans="1:5" x14ac:dyDescent="0.25">
      <c r="A28" s="1" t="s">
        <v>36</v>
      </c>
      <c r="B28" s="1" t="str" cm="1">
        <f t="array" aca="1" ref="B28" ca="1">INDEX($K$2:$K$6, RANDBETWEEN(1, COUNTA($K$2:$K$6)))</f>
        <v>Директор</v>
      </c>
      <c r="C28" s="1">
        <f t="shared" ca="1" si="0"/>
        <v>4000</v>
      </c>
      <c r="D28" s="1">
        <f t="shared" ca="1" si="1"/>
        <v>1907</v>
      </c>
      <c r="E28" s="1">
        <f t="shared" ca="1" si="2"/>
        <v>5964</v>
      </c>
    </row>
    <row r="29" spans="1:5" x14ac:dyDescent="0.25">
      <c r="A29" s="1" t="s">
        <v>37</v>
      </c>
      <c r="B29" s="1" t="str" cm="1">
        <f t="array" aca="1" ref="B29" ca="1">INDEX($K$2:$K$6, RANDBETWEEN(1, COUNTA($K$2:$K$6)))</f>
        <v>Бариста</v>
      </c>
      <c r="C29" s="1">
        <f t="shared" ca="1" si="0"/>
        <v>5000</v>
      </c>
      <c r="D29" s="1">
        <f t="shared" ca="1" si="1"/>
        <v>2771</v>
      </c>
      <c r="E29" s="1">
        <f t="shared" ca="1" si="2"/>
        <v>5907</v>
      </c>
    </row>
    <row r="30" spans="1:5" x14ac:dyDescent="0.25">
      <c r="A30" s="1" t="s">
        <v>38</v>
      </c>
      <c r="B30" s="1" t="str" cm="1">
        <f t="array" aca="1" ref="B30" ca="1">INDEX($K$2:$K$6, RANDBETWEEN(1, COUNTA($K$2:$K$6)))</f>
        <v>Курьер</v>
      </c>
      <c r="C30" s="1">
        <f t="shared" ca="1" si="0"/>
        <v>3000</v>
      </c>
      <c r="D30" s="1">
        <f t="shared" ca="1" si="1"/>
        <v>2341</v>
      </c>
      <c r="E30" s="1">
        <f t="shared" ca="1" si="2"/>
        <v>7771</v>
      </c>
    </row>
    <row r="31" spans="1:5" x14ac:dyDescent="0.25">
      <c r="A31" s="1" t="s">
        <v>39</v>
      </c>
      <c r="B31" s="1" t="str" cm="1">
        <f t="array" aca="1" ref="B31" ca="1">INDEX($K$2:$K$6, RANDBETWEEN(1, COUNTA($K$2:$K$6)))</f>
        <v>Бариста</v>
      </c>
      <c r="C31" s="1">
        <f t="shared" ca="1" si="0"/>
        <v>1000</v>
      </c>
      <c r="D31" s="1">
        <f t="shared" ca="1" si="1"/>
        <v>2079</v>
      </c>
      <c r="E31" s="1">
        <f t="shared" ca="1" si="2"/>
        <v>5341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BBB8-A922-4A1B-8825-93AF74F7EB43}">
  <dimension ref="A1:N31"/>
  <sheetViews>
    <sheetView workbookViewId="0">
      <selection activeCell="N31" sqref="N31"/>
    </sheetView>
  </sheetViews>
  <sheetFormatPr defaultRowHeight="15" x14ac:dyDescent="0.25"/>
  <cols>
    <col min="1" max="1" width="19.28515625" customWidth="1"/>
  </cols>
  <sheetData>
    <row r="1" spans="1:14" x14ac:dyDescent="0.25">
      <c r="A1" t="s">
        <v>0</v>
      </c>
      <c r="B1" t="s">
        <v>45</v>
      </c>
      <c r="C1" t="s">
        <v>44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</row>
    <row r="2" spans="1:14" x14ac:dyDescent="0.25">
      <c r="A2" t="s">
        <v>10</v>
      </c>
      <c r="B2">
        <f ca="1">Январь!E3</f>
        <v>4333</v>
      </c>
      <c r="C2">
        <f ca="1">Февраль!E3</f>
        <v>9225</v>
      </c>
      <c r="D2">
        <f ca="1">Март!E3</f>
        <v>7180</v>
      </c>
      <c r="E2">
        <f ca="1">Апрель!E3</f>
        <v>5593</v>
      </c>
      <c r="F2">
        <f ca="1">Май!E3</f>
        <v>11110</v>
      </c>
      <c r="G2">
        <f ca="1">Июнь!E3</f>
        <v>9703</v>
      </c>
      <c r="H2">
        <f ca="1">Июль!E3</f>
        <v>4589</v>
      </c>
      <c r="I2">
        <f ca="1">Август!E3</f>
        <v>5979</v>
      </c>
      <c r="J2">
        <f ca="1">Сентябрь!E3</f>
        <v>6375</v>
      </c>
      <c r="K2">
        <f ca="1">Октябрь!E3</f>
        <v>3500</v>
      </c>
      <c r="L2">
        <f ca="1">Ноябрь!E3</f>
        <v>6555</v>
      </c>
      <c r="M2">
        <f ca="1">Декабрь!E3</f>
        <v>6140</v>
      </c>
      <c r="N2">
        <f ca="1">SUM(B2:M2)</f>
        <v>80282</v>
      </c>
    </row>
    <row r="3" spans="1:14" x14ac:dyDescent="0.25">
      <c r="A3" t="s">
        <v>11</v>
      </c>
      <c r="B3">
        <f ca="1">Январь!E4</f>
        <v>4333</v>
      </c>
      <c r="C3">
        <f ca="1">Февраль!E4</f>
        <v>9225</v>
      </c>
      <c r="D3">
        <f ca="1">Март!E4</f>
        <v>7180</v>
      </c>
      <c r="E3">
        <f ca="1">Апрель!E4</f>
        <v>5593</v>
      </c>
      <c r="F3">
        <f ca="1">Май!E4</f>
        <v>11110</v>
      </c>
      <c r="G3">
        <f ca="1">Июнь!E4</f>
        <v>9703</v>
      </c>
      <c r="H3">
        <f ca="1">Июль!E4</f>
        <v>4589</v>
      </c>
      <c r="I3">
        <f ca="1">Август!E4</f>
        <v>5979</v>
      </c>
      <c r="J3">
        <f ca="1">Сентябрь!E4</f>
        <v>6375</v>
      </c>
      <c r="K3">
        <f ca="1">Октябрь!E4</f>
        <v>3500</v>
      </c>
      <c r="L3">
        <f ca="1">Ноябрь!E4</f>
        <v>6555</v>
      </c>
      <c r="M3">
        <f ca="1">Декабрь!E4</f>
        <v>6140</v>
      </c>
      <c r="N3">
        <f t="shared" ref="N3:N31" ca="1" si="0">SUM(B3:M3)</f>
        <v>80282</v>
      </c>
    </row>
    <row r="4" spans="1:14" x14ac:dyDescent="0.25">
      <c r="A4" t="s">
        <v>12</v>
      </c>
      <c r="B4">
        <f ca="1">Январь!E5</f>
        <v>3259</v>
      </c>
      <c r="C4">
        <f ca="1">Февраль!E5</f>
        <v>9657</v>
      </c>
      <c r="D4">
        <f ca="1">Март!E5</f>
        <v>6641</v>
      </c>
      <c r="E4">
        <f ca="1">Апрель!E5</f>
        <v>6273</v>
      </c>
      <c r="F4">
        <f ca="1">Май!E5</f>
        <v>9697</v>
      </c>
      <c r="G4">
        <f ca="1">Июнь!E5</f>
        <v>8480</v>
      </c>
      <c r="H4">
        <f ca="1">Июль!E5</f>
        <v>3888</v>
      </c>
      <c r="I4">
        <f ca="1">Август!E5</f>
        <v>5136</v>
      </c>
      <c r="J4">
        <f ca="1">Сентябрь!E5</f>
        <v>5030</v>
      </c>
      <c r="K4">
        <f ca="1">Октябрь!E5</f>
        <v>4239</v>
      </c>
      <c r="L4">
        <f ca="1">Ноябрь!E5</f>
        <v>5161</v>
      </c>
      <c r="M4">
        <f ca="1">Декабрь!E5</f>
        <v>6183</v>
      </c>
      <c r="N4">
        <f t="shared" ca="1" si="0"/>
        <v>73644</v>
      </c>
    </row>
    <row r="5" spans="1:14" x14ac:dyDescent="0.25">
      <c r="A5" t="s">
        <v>13</v>
      </c>
      <c r="B5">
        <f ca="1">Январь!E6</f>
        <v>5585</v>
      </c>
      <c r="C5">
        <f ca="1">Февраль!E6</f>
        <v>9298</v>
      </c>
      <c r="D5">
        <f ca="1">Март!E6</f>
        <v>7381</v>
      </c>
      <c r="E5">
        <f ca="1">Апрель!E6</f>
        <v>6942</v>
      </c>
      <c r="F5">
        <f ca="1">Май!E6</f>
        <v>10917</v>
      </c>
      <c r="G5">
        <f ca="1">Июнь!E6</f>
        <v>8867</v>
      </c>
      <c r="H5">
        <f ca="1">Июль!E6</f>
        <v>5459</v>
      </c>
      <c r="I5">
        <f ca="1">Август!E6</f>
        <v>7140</v>
      </c>
      <c r="J5">
        <f ca="1">Сентябрь!E6</f>
        <v>7220</v>
      </c>
      <c r="K5">
        <f ca="1">Октябрь!E6</f>
        <v>6105</v>
      </c>
      <c r="L5">
        <f ca="1">Ноябрь!E6</f>
        <v>3530</v>
      </c>
      <c r="M5">
        <f ca="1">Декабрь!E6</f>
        <v>4713</v>
      </c>
      <c r="N5">
        <f t="shared" ca="1" si="0"/>
        <v>83157</v>
      </c>
    </row>
    <row r="6" spans="1:14" x14ac:dyDescent="0.25">
      <c r="A6" t="s">
        <v>14</v>
      </c>
      <c r="B6">
        <f ca="1">Январь!E7</f>
        <v>3498</v>
      </c>
      <c r="C6">
        <f ca="1">Февраль!E7</f>
        <v>9167</v>
      </c>
      <c r="D6">
        <f ca="1">Март!E7</f>
        <v>5816</v>
      </c>
      <c r="E6">
        <f ca="1">Апрель!E7</f>
        <v>6906</v>
      </c>
      <c r="F6">
        <f ca="1">Май!E7</f>
        <v>10825</v>
      </c>
      <c r="G6">
        <f ca="1">Июнь!E7</f>
        <v>9089</v>
      </c>
      <c r="H6">
        <f ca="1">Июль!E7</f>
        <v>4629</v>
      </c>
      <c r="I6">
        <f ca="1">Август!E7</f>
        <v>7676</v>
      </c>
      <c r="J6">
        <f ca="1">Сентябрь!E7</f>
        <v>6681</v>
      </c>
      <c r="K6">
        <f ca="1">Октябрь!E7</f>
        <v>2736</v>
      </c>
      <c r="L6">
        <f ca="1">Ноябрь!E7</f>
        <v>4529</v>
      </c>
      <c r="M6">
        <f ca="1">Декабрь!E7</f>
        <v>5241</v>
      </c>
      <c r="N6">
        <f t="shared" ca="1" si="0"/>
        <v>76793</v>
      </c>
    </row>
    <row r="7" spans="1:14" x14ac:dyDescent="0.25">
      <c r="A7" t="s">
        <v>15</v>
      </c>
      <c r="B7">
        <f ca="1">Январь!E8</f>
        <v>4093</v>
      </c>
      <c r="C7">
        <f ca="1">Февраль!E8</f>
        <v>7151</v>
      </c>
      <c r="D7">
        <f ca="1">Март!E8</f>
        <v>5723</v>
      </c>
      <c r="E7">
        <f ca="1">Апрель!E8</f>
        <v>5404</v>
      </c>
      <c r="F7">
        <f ca="1">Май!E8</f>
        <v>8721</v>
      </c>
      <c r="G7">
        <f ca="1">Июнь!E8</f>
        <v>5737</v>
      </c>
      <c r="H7">
        <f ca="1">Июль!E8</f>
        <v>4837</v>
      </c>
      <c r="I7">
        <f ca="1">Август!E8</f>
        <v>7459</v>
      </c>
      <c r="J7">
        <f ca="1">Сентябрь!E8</f>
        <v>4246</v>
      </c>
      <c r="K7">
        <f ca="1">Октябрь!E8</f>
        <v>2840</v>
      </c>
      <c r="L7">
        <f ca="1">Ноябрь!E8</f>
        <v>4179</v>
      </c>
      <c r="M7">
        <f ca="1">Декабрь!E8</f>
        <v>8285</v>
      </c>
      <c r="N7">
        <f t="shared" ca="1" si="0"/>
        <v>68675</v>
      </c>
    </row>
    <row r="8" spans="1:14" x14ac:dyDescent="0.25">
      <c r="A8" t="s">
        <v>16</v>
      </c>
      <c r="B8">
        <f ca="1">Январь!E9</f>
        <v>5912</v>
      </c>
      <c r="C8">
        <f ca="1">Февраль!E9</f>
        <v>10322</v>
      </c>
      <c r="D8">
        <f ca="1">Март!E9</f>
        <v>4868</v>
      </c>
      <c r="E8">
        <f ca="1">Апрель!E9</f>
        <v>7286</v>
      </c>
      <c r="F8">
        <f ca="1">Май!E9</f>
        <v>9544</v>
      </c>
      <c r="G8">
        <f ca="1">Июнь!E9</f>
        <v>8103</v>
      </c>
      <c r="H8">
        <f ca="1">Июль!E9</f>
        <v>3995</v>
      </c>
      <c r="I8">
        <f ca="1">Август!E9</f>
        <v>4849</v>
      </c>
      <c r="J8">
        <f ca="1">Сентябрь!E9</f>
        <v>7139</v>
      </c>
      <c r="K8">
        <f ca="1">Октябрь!E9</f>
        <v>4440</v>
      </c>
      <c r="L8">
        <f ca="1">Ноябрь!E9</f>
        <v>4176</v>
      </c>
      <c r="M8">
        <f ca="1">Декабрь!E9</f>
        <v>7470</v>
      </c>
      <c r="N8">
        <f t="shared" ca="1" si="0"/>
        <v>78104</v>
      </c>
    </row>
    <row r="9" spans="1:14" x14ac:dyDescent="0.25">
      <c r="A9" t="s">
        <v>17</v>
      </c>
      <c r="B9">
        <f ca="1">Январь!E10</f>
        <v>5724</v>
      </c>
      <c r="C9">
        <f ca="1">Февраль!E10</f>
        <v>8334</v>
      </c>
      <c r="D9">
        <f ca="1">Март!E10</f>
        <v>7853</v>
      </c>
      <c r="E9">
        <f ca="1">Апрель!E10</f>
        <v>8174</v>
      </c>
      <c r="F9">
        <f ca="1">Май!E10</f>
        <v>9571</v>
      </c>
      <c r="G9">
        <f ca="1">Июнь!E10</f>
        <v>5900</v>
      </c>
      <c r="H9">
        <f ca="1">Июль!E10</f>
        <v>6668</v>
      </c>
      <c r="I9">
        <f ca="1">Август!E10</f>
        <v>7678</v>
      </c>
      <c r="J9">
        <f ca="1">Сентябрь!E10</f>
        <v>5857</v>
      </c>
      <c r="K9">
        <f ca="1">Октябрь!E10</f>
        <v>3323</v>
      </c>
      <c r="L9">
        <f ca="1">Ноябрь!E10</f>
        <v>6346</v>
      </c>
      <c r="M9">
        <f ca="1">Декабрь!E10</f>
        <v>5574</v>
      </c>
      <c r="N9">
        <f t="shared" ca="1" si="0"/>
        <v>81002</v>
      </c>
    </row>
    <row r="10" spans="1:14" x14ac:dyDescent="0.25">
      <c r="A10" t="s">
        <v>18</v>
      </c>
      <c r="B10">
        <f ca="1">Январь!E11</f>
        <v>3832</v>
      </c>
      <c r="C10">
        <f ca="1">Февраль!E11</f>
        <v>8149</v>
      </c>
      <c r="D10">
        <f ca="1">Март!E11</f>
        <v>6150</v>
      </c>
      <c r="E10">
        <f ca="1">Апрель!E11</f>
        <v>7882</v>
      </c>
      <c r="F10">
        <f ca="1">Май!E11</f>
        <v>9425</v>
      </c>
      <c r="G10">
        <f ca="1">Июнь!E11</f>
        <v>7881</v>
      </c>
      <c r="H10">
        <f ca="1">Июль!E11</f>
        <v>5467</v>
      </c>
      <c r="I10">
        <f ca="1">Август!E11</f>
        <v>4971</v>
      </c>
      <c r="J10">
        <f ca="1">Сентябрь!E11</f>
        <v>6950</v>
      </c>
      <c r="K10">
        <f ca="1">Октябрь!E11</f>
        <v>3265</v>
      </c>
      <c r="L10">
        <f ca="1">Ноябрь!E11</f>
        <v>4393</v>
      </c>
      <c r="M10">
        <f ca="1">Декабрь!E11</f>
        <v>7224</v>
      </c>
      <c r="N10">
        <f t="shared" ca="1" si="0"/>
        <v>75589</v>
      </c>
    </row>
    <row r="11" spans="1:14" x14ac:dyDescent="0.25">
      <c r="A11" t="s">
        <v>19</v>
      </c>
      <c r="B11">
        <f ca="1">Январь!E12</f>
        <v>5100</v>
      </c>
      <c r="C11">
        <f ca="1">Февраль!E12</f>
        <v>6741</v>
      </c>
      <c r="D11">
        <f ca="1">Март!E12</f>
        <v>5146</v>
      </c>
      <c r="E11">
        <f ca="1">Апрель!E12</f>
        <v>7492</v>
      </c>
      <c r="F11">
        <f ca="1">Май!E12</f>
        <v>8049</v>
      </c>
      <c r="G11">
        <f ca="1">Июнь!E12</f>
        <v>5471</v>
      </c>
      <c r="H11">
        <f ca="1">Июль!E12</f>
        <v>6371</v>
      </c>
      <c r="I11">
        <f ca="1">Август!E12</f>
        <v>7625</v>
      </c>
      <c r="J11">
        <f ca="1">Сентябрь!E12</f>
        <v>4900</v>
      </c>
      <c r="K11">
        <f ca="1">Октябрь!E12</f>
        <v>6476</v>
      </c>
      <c r="L11">
        <f ca="1">Ноябрь!E12</f>
        <v>4486</v>
      </c>
      <c r="M11">
        <f ca="1">Декабрь!E12</f>
        <v>6249</v>
      </c>
      <c r="N11">
        <f t="shared" ca="1" si="0"/>
        <v>74106</v>
      </c>
    </row>
    <row r="12" spans="1:14" x14ac:dyDescent="0.25">
      <c r="A12" t="s">
        <v>20</v>
      </c>
      <c r="B12">
        <f ca="1">Январь!E13</f>
        <v>4245</v>
      </c>
      <c r="C12">
        <f ca="1">Февраль!E13</f>
        <v>9892</v>
      </c>
      <c r="D12">
        <f ca="1">Март!E13</f>
        <v>6714</v>
      </c>
      <c r="E12">
        <f ca="1">Апрель!E13</f>
        <v>6308</v>
      </c>
      <c r="F12">
        <f ca="1">Май!E13</f>
        <v>10957</v>
      </c>
      <c r="G12">
        <f ca="1">Июнь!E13</f>
        <v>8080</v>
      </c>
      <c r="H12">
        <f ca="1">Июль!E13</f>
        <v>5424</v>
      </c>
      <c r="I12">
        <f ca="1">Август!E13</f>
        <v>7113</v>
      </c>
      <c r="J12">
        <f ca="1">Сентябрь!E13</f>
        <v>5590</v>
      </c>
      <c r="K12">
        <f ca="1">Октябрь!E13</f>
        <v>2999</v>
      </c>
      <c r="L12">
        <f ca="1">Ноябрь!E13</f>
        <v>3855</v>
      </c>
      <c r="M12">
        <f ca="1">Декабрь!E13</f>
        <v>6688</v>
      </c>
      <c r="N12">
        <f t="shared" ca="1" si="0"/>
        <v>77865</v>
      </c>
    </row>
    <row r="13" spans="1:14" x14ac:dyDescent="0.25">
      <c r="A13" t="s">
        <v>21</v>
      </c>
      <c r="B13">
        <f ca="1">Январь!E14</f>
        <v>5217</v>
      </c>
      <c r="C13">
        <f ca="1">Февраль!E14</f>
        <v>6749</v>
      </c>
      <c r="D13">
        <f ca="1">Март!E14</f>
        <v>6236</v>
      </c>
      <c r="E13">
        <f ca="1">Апрель!E14</f>
        <v>5437</v>
      </c>
      <c r="F13">
        <f ca="1">Май!E14</f>
        <v>10784</v>
      </c>
      <c r="G13">
        <f ca="1">Июнь!E14</f>
        <v>7088</v>
      </c>
      <c r="H13">
        <f ca="1">Июль!E14</f>
        <v>5497</v>
      </c>
      <c r="I13">
        <f ca="1">Август!E14</f>
        <v>8421</v>
      </c>
      <c r="J13">
        <f ca="1">Сентябрь!E14</f>
        <v>6611</v>
      </c>
      <c r="K13">
        <f ca="1">Октябрь!E14</f>
        <v>4274</v>
      </c>
      <c r="L13">
        <f ca="1">Ноябрь!E14</f>
        <v>5215</v>
      </c>
      <c r="M13">
        <f ca="1">Декабрь!E14</f>
        <v>3500</v>
      </c>
      <c r="N13">
        <f t="shared" ca="1" si="0"/>
        <v>75029</v>
      </c>
    </row>
    <row r="14" spans="1:14" x14ac:dyDescent="0.25">
      <c r="A14" t="s">
        <v>22</v>
      </c>
      <c r="B14">
        <f ca="1">Январь!E15</f>
        <v>4101</v>
      </c>
      <c r="C14">
        <f ca="1">Февраль!E15</f>
        <v>7268</v>
      </c>
      <c r="D14">
        <f ca="1">Март!E15</f>
        <v>6561</v>
      </c>
      <c r="E14">
        <f ca="1">Апрель!E15</f>
        <v>5562</v>
      </c>
      <c r="F14">
        <f ca="1">Май!E15</f>
        <v>11002</v>
      </c>
      <c r="G14">
        <f ca="1">Июнь!E15</f>
        <v>8578</v>
      </c>
      <c r="H14">
        <f ca="1">Июль!E15</f>
        <v>4147</v>
      </c>
      <c r="I14">
        <f ca="1">Август!E15</f>
        <v>7047</v>
      </c>
      <c r="J14">
        <f ca="1">Сентябрь!E15</f>
        <v>5195</v>
      </c>
      <c r="K14">
        <f ca="1">Октябрь!E15</f>
        <v>3414</v>
      </c>
      <c r="L14">
        <f ca="1">Ноябрь!E15</f>
        <v>4484</v>
      </c>
      <c r="M14">
        <f ca="1">Декабрь!E15</f>
        <v>5967</v>
      </c>
      <c r="N14">
        <f t="shared" ca="1" si="0"/>
        <v>73326</v>
      </c>
    </row>
    <row r="15" spans="1:14" x14ac:dyDescent="0.25">
      <c r="A15" t="s">
        <v>23</v>
      </c>
      <c r="B15">
        <f ca="1">Январь!E16</f>
        <v>5885</v>
      </c>
      <c r="C15">
        <f ca="1">Февраль!E16</f>
        <v>7216</v>
      </c>
      <c r="D15">
        <f ca="1">Март!E16</f>
        <v>5581</v>
      </c>
      <c r="E15">
        <f ca="1">Апрель!E16</f>
        <v>5601</v>
      </c>
      <c r="F15">
        <f ca="1">Май!E16</f>
        <v>9645</v>
      </c>
      <c r="G15">
        <f ca="1">Июнь!E16</f>
        <v>6287</v>
      </c>
      <c r="H15">
        <f ca="1">Июль!E16</f>
        <v>4737</v>
      </c>
      <c r="I15">
        <f ca="1">Август!E16</f>
        <v>5504</v>
      </c>
      <c r="J15">
        <f ca="1">Сентябрь!E16</f>
        <v>7514</v>
      </c>
      <c r="K15">
        <f ca="1">Октябрь!E16</f>
        <v>6196</v>
      </c>
      <c r="L15">
        <f ca="1">Ноябрь!E16</f>
        <v>3797</v>
      </c>
      <c r="M15">
        <f ca="1">Декабрь!E16</f>
        <v>5644</v>
      </c>
      <c r="N15">
        <f t="shared" ca="1" si="0"/>
        <v>73607</v>
      </c>
    </row>
    <row r="16" spans="1:14" x14ac:dyDescent="0.25">
      <c r="A16" t="s">
        <v>24</v>
      </c>
      <c r="B16">
        <f ca="1">Январь!E17</f>
        <v>6076</v>
      </c>
      <c r="C16">
        <f ca="1">Февраль!E17</f>
        <v>7156</v>
      </c>
      <c r="D16">
        <f ca="1">Март!E17</f>
        <v>6633</v>
      </c>
      <c r="E16">
        <f ca="1">Апрель!E17</f>
        <v>7361</v>
      </c>
      <c r="F16">
        <f ca="1">Май!E17</f>
        <v>8402</v>
      </c>
      <c r="G16">
        <f ca="1">Июнь!E17</f>
        <v>6307</v>
      </c>
      <c r="H16">
        <f ca="1">Июль!E17</f>
        <v>4415</v>
      </c>
      <c r="I16">
        <f ca="1">Август!E17</f>
        <v>3913</v>
      </c>
      <c r="J16">
        <f ca="1">Сентябрь!E17</f>
        <v>6134</v>
      </c>
      <c r="K16">
        <f ca="1">Октябрь!E17</f>
        <v>2837</v>
      </c>
      <c r="L16">
        <f ca="1">Ноябрь!E17</f>
        <v>4039</v>
      </c>
      <c r="M16">
        <f ca="1">Декабрь!E17</f>
        <v>4577</v>
      </c>
      <c r="N16">
        <f t="shared" ca="1" si="0"/>
        <v>67850</v>
      </c>
    </row>
    <row r="17" spans="1:14" x14ac:dyDescent="0.25">
      <c r="A17" t="s">
        <v>25</v>
      </c>
      <c r="B17">
        <f ca="1">Январь!E18</f>
        <v>4478</v>
      </c>
      <c r="C17">
        <f ca="1">Февраль!E18</f>
        <v>8104</v>
      </c>
      <c r="D17">
        <f ca="1">Март!E18</f>
        <v>6640</v>
      </c>
      <c r="E17">
        <f ca="1">Апрель!E18</f>
        <v>5751</v>
      </c>
      <c r="F17">
        <f ca="1">Май!E18</f>
        <v>10169</v>
      </c>
      <c r="G17">
        <f ca="1">Июнь!E18</f>
        <v>9016</v>
      </c>
      <c r="H17">
        <f ca="1">Июль!E18</f>
        <v>5779</v>
      </c>
      <c r="I17">
        <f ca="1">Август!E18</f>
        <v>6293</v>
      </c>
      <c r="J17">
        <f ca="1">Сентябрь!E18</f>
        <v>5700</v>
      </c>
      <c r="K17">
        <f ca="1">Октябрь!E18</f>
        <v>3398</v>
      </c>
      <c r="L17">
        <f ca="1">Ноябрь!E18</f>
        <v>3814</v>
      </c>
      <c r="M17">
        <f ca="1">Декабрь!E18</f>
        <v>7218</v>
      </c>
      <c r="N17">
        <f t="shared" ca="1" si="0"/>
        <v>76360</v>
      </c>
    </row>
    <row r="18" spans="1:14" x14ac:dyDescent="0.25">
      <c r="A18" t="s">
        <v>26</v>
      </c>
      <c r="B18">
        <f ca="1">Январь!E19</f>
        <v>2704</v>
      </c>
      <c r="C18">
        <f ca="1">Февраль!E19</f>
        <v>6739</v>
      </c>
      <c r="D18">
        <f ca="1">Март!E19</f>
        <v>7623</v>
      </c>
      <c r="E18">
        <f ca="1">Апрель!E19</f>
        <v>6525</v>
      </c>
      <c r="F18">
        <f ca="1">Май!E19</f>
        <v>9203</v>
      </c>
      <c r="G18">
        <f ca="1">Июнь!E19</f>
        <v>5119</v>
      </c>
      <c r="H18">
        <f ca="1">Июль!E19</f>
        <v>5875</v>
      </c>
      <c r="I18">
        <f ca="1">Август!E19</f>
        <v>6232</v>
      </c>
      <c r="J18">
        <f ca="1">Сентябрь!E19</f>
        <v>7309</v>
      </c>
      <c r="K18">
        <f ca="1">Октябрь!E19</f>
        <v>3293</v>
      </c>
      <c r="L18">
        <f ca="1">Ноябрь!E19</f>
        <v>2711</v>
      </c>
      <c r="M18">
        <f ca="1">Декабрь!E19</f>
        <v>5868</v>
      </c>
      <c r="N18">
        <f t="shared" ca="1" si="0"/>
        <v>69201</v>
      </c>
    </row>
    <row r="19" spans="1:14" x14ac:dyDescent="0.25">
      <c r="A19" t="s">
        <v>27</v>
      </c>
      <c r="B19">
        <f ca="1">Январь!E20</f>
        <v>4265</v>
      </c>
      <c r="C19">
        <f ca="1">Февраль!E20</f>
        <v>8161</v>
      </c>
      <c r="D19">
        <f ca="1">Март!E20</f>
        <v>5134</v>
      </c>
      <c r="E19">
        <f ca="1">Апрель!E20</f>
        <v>5105</v>
      </c>
      <c r="F19">
        <f ca="1">Май!E20</f>
        <v>10076</v>
      </c>
      <c r="G19">
        <f ca="1">Июнь!E20</f>
        <v>8551</v>
      </c>
      <c r="H19">
        <f ca="1">Июль!E20</f>
        <v>3297</v>
      </c>
      <c r="I19">
        <f ca="1">Август!E20</f>
        <v>5998</v>
      </c>
      <c r="J19">
        <f ca="1">Сентябрь!E20</f>
        <v>6908</v>
      </c>
      <c r="K19">
        <f ca="1">Октябрь!E20</f>
        <v>3974</v>
      </c>
      <c r="L19">
        <f ca="1">Ноябрь!E20</f>
        <v>4445</v>
      </c>
      <c r="M19">
        <f ca="1">Декабрь!E20</f>
        <v>4057</v>
      </c>
      <c r="N19">
        <f t="shared" ca="1" si="0"/>
        <v>69971</v>
      </c>
    </row>
    <row r="20" spans="1:14" x14ac:dyDescent="0.25">
      <c r="A20" t="s">
        <v>28</v>
      </c>
      <c r="B20">
        <f ca="1">Январь!E21</f>
        <v>5495</v>
      </c>
      <c r="C20">
        <f ca="1">Февраль!E21</f>
        <v>7285</v>
      </c>
      <c r="D20">
        <f ca="1">Март!E21</f>
        <v>6358</v>
      </c>
      <c r="E20">
        <f ca="1">Апрель!E21</f>
        <v>7705</v>
      </c>
      <c r="F20">
        <f ca="1">Май!E21</f>
        <v>10597</v>
      </c>
      <c r="G20">
        <f ca="1">Июнь!E21</f>
        <v>6371</v>
      </c>
      <c r="H20">
        <f ca="1">Июль!E21</f>
        <v>6035</v>
      </c>
      <c r="I20">
        <f ca="1">Август!E21</f>
        <v>5655</v>
      </c>
      <c r="J20">
        <f ca="1">Сентябрь!E21</f>
        <v>4713</v>
      </c>
      <c r="K20">
        <f ca="1">Октябрь!E21</f>
        <v>3024</v>
      </c>
      <c r="L20">
        <f ca="1">Ноябрь!E21</f>
        <v>3323</v>
      </c>
      <c r="M20">
        <f ca="1">Декабрь!E21</f>
        <v>2943</v>
      </c>
      <c r="N20">
        <f t="shared" ca="1" si="0"/>
        <v>69504</v>
      </c>
    </row>
    <row r="21" spans="1:14" x14ac:dyDescent="0.25">
      <c r="A21" t="s">
        <v>29</v>
      </c>
      <c r="B21">
        <f ca="1">Январь!E22</f>
        <v>5002</v>
      </c>
      <c r="C21">
        <f ca="1">Февраль!E22</f>
        <v>6852</v>
      </c>
      <c r="D21">
        <f ca="1">Март!E22</f>
        <v>5061</v>
      </c>
      <c r="E21">
        <f ca="1">Апрель!E22</f>
        <v>5517</v>
      </c>
      <c r="F21">
        <f ca="1">Май!E22</f>
        <v>10610</v>
      </c>
      <c r="G21">
        <f ca="1">Июнь!E22</f>
        <v>7661</v>
      </c>
      <c r="H21">
        <f ca="1">Июль!E22</f>
        <v>5721</v>
      </c>
      <c r="I21">
        <f ca="1">Август!E22</f>
        <v>7516</v>
      </c>
      <c r="J21">
        <f ca="1">Сентябрь!E22</f>
        <v>6420</v>
      </c>
      <c r="K21">
        <f ca="1">Октябрь!E22</f>
        <v>4381</v>
      </c>
      <c r="L21">
        <f ca="1">Ноябрь!E22</f>
        <v>4960</v>
      </c>
      <c r="M21">
        <f ca="1">Декабрь!E22</f>
        <v>4992</v>
      </c>
      <c r="N21">
        <f t="shared" ca="1" si="0"/>
        <v>74693</v>
      </c>
    </row>
    <row r="22" spans="1:14" x14ac:dyDescent="0.25">
      <c r="A22" t="s">
        <v>30</v>
      </c>
      <c r="B22">
        <f ca="1">Январь!E23</f>
        <v>3902</v>
      </c>
      <c r="C22">
        <f ca="1">Февраль!E23</f>
        <v>8233</v>
      </c>
      <c r="D22">
        <f ca="1">Март!E23</f>
        <v>6556</v>
      </c>
      <c r="E22">
        <f ca="1">Апрель!E23</f>
        <v>7148</v>
      </c>
      <c r="F22">
        <f ca="1">Май!E23</f>
        <v>10295</v>
      </c>
      <c r="G22">
        <f ca="1">Июнь!E23</f>
        <v>6484</v>
      </c>
      <c r="H22">
        <f ca="1">Июль!E23</f>
        <v>5243</v>
      </c>
      <c r="I22">
        <f ca="1">Август!E23</f>
        <v>5292</v>
      </c>
      <c r="J22">
        <f ca="1">Сентябрь!E23</f>
        <v>6433</v>
      </c>
      <c r="K22">
        <f ca="1">Октябрь!E23</f>
        <v>5941</v>
      </c>
      <c r="L22">
        <f ca="1">Ноябрь!E23</f>
        <v>5308</v>
      </c>
      <c r="M22">
        <f ca="1">Декабрь!E23</f>
        <v>4716</v>
      </c>
      <c r="N22">
        <f t="shared" ca="1" si="0"/>
        <v>75551</v>
      </c>
    </row>
    <row r="23" spans="1:14" x14ac:dyDescent="0.25">
      <c r="A23" t="s">
        <v>31</v>
      </c>
      <c r="B23">
        <f ca="1">Январь!E24</f>
        <v>4593</v>
      </c>
      <c r="C23">
        <f ca="1">Февраль!E24</f>
        <v>7822</v>
      </c>
      <c r="D23">
        <f ca="1">Март!E24</f>
        <v>7577</v>
      </c>
      <c r="E23">
        <f ca="1">Апрель!E24</f>
        <v>8369</v>
      </c>
      <c r="F23">
        <f ca="1">Май!E24</f>
        <v>8543</v>
      </c>
      <c r="G23">
        <f ca="1">Июнь!E24</f>
        <v>8241</v>
      </c>
      <c r="H23">
        <f ca="1">Июль!E24</f>
        <v>6879</v>
      </c>
      <c r="I23">
        <f ca="1">Август!E24</f>
        <v>6633</v>
      </c>
      <c r="J23">
        <f ca="1">Сентябрь!E24</f>
        <v>4098</v>
      </c>
      <c r="K23">
        <f ca="1">Октябрь!E24</f>
        <v>5545</v>
      </c>
      <c r="L23">
        <f ca="1">Ноябрь!E24</f>
        <v>5796</v>
      </c>
      <c r="M23">
        <f ca="1">Декабрь!E24</f>
        <v>5177</v>
      </c>
      <c r="N23">
        <f t="shared" ca="1" si="0"/>
        <v>79273</v>
      </c>
    </row>
    <row r="24" spans="1:14" x14ac:dyDescent="0.25">
      <c r="A24" t="s">
        <v>32</v>
      </c>
      <c r="B24">
        <f ca="1">Январь!E25</f>
        <v>3492</v>
      </c>
      <c r="C24">
        <f ca="1">Февраль!E25</f>
        <v>7689</v>
      </c>
      <c r="D24">
        <f ca="1">Март!E25</f>
        <v>7798</v>
      </c>
      <c r="E24">
        <f ca="1">Апрель!E25</f>
        <v>6199</v>
      </c>
      <c r="F24">
        <f ca="1">Май!E25</f>
        <v>8950</v>
      </c>
      <c r="G24">
        <f ca="1">Июнь!E25</f>
        <v>6115</v>
      </c>
      <c r="H24">
        <f ca="1">Июль!E25</f>
        <v>5726</v>
      </c>
      <c r="I24">
        <f ca="1">Август!E25</f>
        <v>7261</v>
      </c>
      <c r="J24">
        <f ca="1">Сентябрь!E25</f>
        <v>6023</v>
      </c>
      <c r="K24">
        <f ca="1">Октябрь!E25</f>
        <v>3631</v>
      </c>
      <c r="L24">
        <f ca="1">Ноябрь!E25</f>
        <v>4655</v>
      </c>
      <c r="M24">
        <f ca="1">Декабрь!E25</f>
        <v>8265</v>
      </c>
      <c r="N24">
        <f t="shared" ca="1" si="0"/>
        <v>75804</v>
      </c>
    </row>
    <row r="25" spans="1:14" x14ac:dyDescent="0.25">
      <c r="A25" t="s">
        <v>33</v>
      </c>
      <c r="B25">
        <f ca="1">Январь!E26</f>
        <v>6255</v>
      </c>
      <c r="C25">
        <f ca="1">Февраль!E26</f>
        <v>8497</v>
      </c>
      <c r="D25">
        <f ca="1">Март!E26</f>
        <v>6312</v>
      </c>
      <c r="E25">
        <f ca="1">Апрель!E26</f>
        <v>4973</v>
      </c>
      <c r="F25">
        <f ca="1">Май!E26</f>
        <v>8191</v>
      </c>
      <c r="G25">
        <f ca="1">Июнь!E26</f>
        <v>5978</v>
      </c>
      <c r="H25">
        <f ca="1">Июль!E26</f>
        <v>4219</v>
      </c>
      <c r="I25">
        <f ca="1">Август!E26</f>
        <v>8170</v>
      </c>
      <c r="J25">
        <f ca="1">Сентябрь!E26</f>
        <v>4150</v>
      </c>
      <c r="K25">
        <f ca="1">Октябрь!E26</f>
        <v>5664</v>
      </c>
      <c r="L25">
        <f ca="1">Ноябрь!E26</f>
        <v>5302</v>
      </c>
      <c r="M25">
        <f ca="1">Декабрь!E26</f>
        <v>4023</v>
      </c>
      <c r="N25">
        <f t="shared" ca="1" si="0"/>
        <v>71734</v>
      </c>
    </row>
    <row r="26" spans="1:14" x14ac:dyDescent="0.25">
      <c r="A26" t="s">
        <v>34</v>
      </c>
      <c r="B26">
        <f ca="1">Январь!E27</f>
        <v>5304</v>
      </c>
      <c r="C26">
        <f ca="1">Февраль!E27</f>
        <v>9204</v>
      </c>
      <c r="D26">
        <f ca="1">Март!E27</f>
        <v>7620</v>
      </c>
      <c r="E26">
        <f ca="1">Апрель!E27</f>
        <v>6233</v>
      </c>
      <c r="F26">
        <f ca="1">Май!E27</f>
        <v>8199</v>
      </c>
      <c r="G26">
        <f ca="1">Июнь!E27</f>
        <v>6814</v>
      </c>
      <c r="H26">
        <f ca="1">Июль!E27</f>
        <v>5942</v>
      </c>
      <c r="I26">
        <f ca="1">Август!E27</f>
        <v>8266</v>
      </c>
      <c r="J26">
        <f ca="1">Сентябрь!E27</f>
        <v>4272</v>
      </c>
      <c r="K26">
        <f ca="1">Октябрь!E27</f>
        <v>2913</v>
      </c>
      <c r="L26">
        <f ca="1">Ноябрь!E27</f>
        <v>4129</v>
      </c>
      <c r="M26">
        <f ca="1">Декабрь!E27</f>
        <v>3774</v>
      </c>
      <c r="N26">
        <f t="shared" ca="1" si="0"/>
        <v>72670</v>
      </c>
    </row>
    <row r="27" spans="1:14" x14ac:dyDescent="0.25">
      <c r="A27" t="s">
        <v>35</v>
      </c>
      <c r="B27">
        <f ca="1">Январь!E28</f>
        <v>4860</v>
      </c>
      <c r="C27">
        <f ca="1">Февраль!E28</f>
        <v>6817</v>
      </c>
      <c r="D27">
        <f ca="1">Март!E28</f>
        <v>6538</v>
      </c>
      <c r="E27">
        <f ca="1">Апрель!E28</f>
        <v>6570</v>
      </c>
      <c r="F27">
        <f ca="1">Май!E28</f>
        <v>8814</v>
      </c>
      <c r="G27">
        <f ca="1">Июнь!E28</f>
        <v>8746</v>
      </c>
      <c r="H27">
        <f ca="1">Июль!E28</f>
        <v>4704</v>
      </c>
      <c r="I27">
        <f ca="1">Август!E28</f>
        <v>7251</v>
      </c>
      <c r="J27">
        <f ca="1">Сентябрь!E28</f>
        <v>6257</v>
      </c>
      <c r="K27">
        <f ca="1">Октябрь!E28</f>
        <v>6798</v>
      </c>
      <c r="L27">
        <f ca="1">Ноябрь!E28</f>
        <v>4771</v>
      </c>
      <c r="M27">
        <f ca="1">Декабрь!E28</f>
        <v>5964</v>
      </c>
      <c r="N27">
        <f t="shared" ca="1" si="0"/>
        <v>78090</v>
      </c>
    </row>
    <row r="28" spans="1:14" x14ac:dyDescent="0.25">
      <c r="A28" t="s">
        <v>36</v>
      </c>
      <c r="B28">
        <f ca="1">Январь!E29</f>
        <v>5709</v>
      </c>
      <c r="C28">
        <f ca="1">Февраль!E29</f>
        <v>7403</v>
      </c>
      <c r="D28">
        <f ca="1">Март!E29</f>
        <v>5120</v>
      </c>
      <c r="E28">
        <f ca="1">Апрель!E29</f>
        <v>7845</v>
      </c>
      <c r="F28">
        <f ca="1">Май!E29</f>
        <v>10160</v>
      </c>
      <c r="G28">
        <f ca="1">Июнь!E29</f>
        <v>5166</v>
      </c>
      <c r="H28">
        <f ca="1">Июль!E29</f>
        <v>6426</v>
      </c>
      <c r="I28">
        <f ca="1">Август!E29</f>
        <v>4343</v>
      </c>
      <c r="J28">
        <f ca="1">Сентябрь!E29</f>
        <v>4615</v>
      </c>
      <c r="K28">
        <f ca="1">Октябрь!E29</f>
        <v>3463</v>
      </c>
      <c r="L28">
        <f ca="1">Ноябрь!E29</f>
        <v>4598</v>
      </c>
      <c r="M28">
        <f ca="1">Декабрь!E29</f>
        <v>5907</v>
      </c>
      <c r="N28">
        <f t="shared" ca="1" si="0"/>
        <v>70755</v>
      </c>
    </row>
    <row r="29" spans="1:14" x14ac:dyDescent="0.25">
      <c r="A29" t="s">
        <v>37</v>
      </c>
      <c r="B29">
        <f ca="1">Январь!E30</f>
        <v>4526</v>
      </c>
      <c r="C29">
        <f ca="1">Февраль!E30</f>
        <v>7367</v>
      </c>
      <c r="D29">
        <f ca="1">Март!E30</f>
        <v>6260</v>
      </c>
      <c r="E29">
        <f ca="1">Апрель!E30</f>
        <v>5378</v>
      </c>
      <c r="F29">
        <f ca="1">Май!E30</f>
        <v>8527</v>
      </c>
      <c r="G29">
        <f ca="1">Июнь!E30</f>
        <v>7833</v>
      </c>
      <c r="H29">
        <f ca="1">Июль!E30</f>
        <v>5454</v>
      </c>
      <c r="I29">
        <f ca="1">Август!E30</f>
        <v>4889</v>
      </c>
      <c r="J29">
        <f ca="1">Сентябрь!E30</f>
        <v>3854</v>
      </c>
      <c r="K29">
        <f ca="1">Октябрь!E30</f>
        <v>3512</v>
      </c>
      <c r="L29">
        <f ca="1">Ноябрь!E30</f>
        <v>4869</v>
      </c>
      <c r="M29">
        <f ca="1">Декабрь!E30</f>
        <v>7771</v>
      </c>
      <c r="N29">
        <f t="shared" ca="1" si="0"/>
        <v>70240</v>
      </c>
    </row>
    <row r="30" spans="1:14" x14ac:dyDescent="0.25">
      <c r="A30" t="s">
        <v>38</v>
      </c>
      <c r="B30">
        <f ca="1">Январь!E31</f>
        <v>4231</v>
      </c>
      <c r="C30">
        <f ca="1">Февраль!E31</f>
        <v>8721</v>
      </c>
      <c r="D30">
        <f ca="1">Март!E31</f>
        <v>5322</v>
      </c>
      <c r="E30">
        <f ca="1">Апрель!E31</f>
        <v>5753</v>
      </c>
      <c r="F30">
        <f ca="1">Май!E31</f>
        <v>9995</v>
      </c>
      <c r="G30">
        <f ca="1">Июнь!E31</f>
        <v>9210</v>
      </c>
      <c r="H30">
        <f ca="1">Июль!E31</f>
        <v>6251</v>
      </c>
      <c r="I30">
        <f ca="1">Август!E31</f>
        <v>8319</v>
      </c>
      <c r="J30">
        <f ca="1">Сентябрь!E31</f>
        <v>4565</v>
      </c>
      <c r="K30">
        <f ca="1">Октябрь!E31</f>
        <v>4158</v>
      </c>
      <c r="L30">
        <f ca="1">Ноябрь!E31</f>
        <v>4091</v>
      </c>
      <c r="M30">
        <f ca="1">Декабрь!E31</f>
        <v>5341</v>
      </c>
      <c r="N30">
        <f t="shared" ca="1" si="0"/>
        <v>75957</v>
      </c>
    </row>
    <row r="31" spans="1:14" x14ac:dyDescent="0.25">
      <c r="A31" t="s">
        <v>39</v>
      </c>
      <c r="B31">
        <f ca="1">Январь!E31</f>
        <v>4231</v>
      </c>
      <c r="C31">
        <f ca="1">Февраль!E31</f>
        <v>8721</v>
      </c>
      <c r="D31">
        <f ca="1">Март!E31</f>
        <v>5322</v>
      </c>
      <c r="E31">
        <f ca="1">Апрель!E31</f>
        <v>5753</v>
      </c>
      <c r="F31">
        <f ca="1">Май!E31</f>
        <v>9995</v>
      </c>
      <c r="G31">
        <f ca="1">Июнь!E31</f>
        <v>9210</v>
      </c>
      <c r="H31">
        <f ca="1">Июль!E31</f>
        <v>6251</v>
      </c>
      <c r="I31">
        <f ca="1">Август!E31</f>
        <v>8319</v>
      </c>
      <c r="J31">
        <f ca="1">Сентябрь!E31</f>
        <v>4565</v>
      </c>
      <c r="K31">
        <f ca="1">Октябрь!E31</f>
        <v>4158</v>
      </c>
      <c r="L31">
        <f ca="1">Ноябрь!E31</f>
        <v>4091</v>
      </c>
      <c r="M31">
        <f ca="1">Декабрь!E31</f>
        <v>5341</v>
      </c>
      <c r="N31">
        <f ca="1">SUM(B31:M31)</f>
        <v>75957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E30B-B72A-4372-8DA2-13185E86E7ED}">
  <dimension ref="A1:C32"/>
  <sheetViews>
    <sheetView tabSelected="1" workbookViewId="0">
      <selection activeCell="B32" sqref="B32"/>
    </sheetView>
  </sheetViews>
  <sheetFormatPr defaultRowHeight="15" x14ac:dyDescent="0.25"/>
  <cols>
    <col min="1" max="1" width="19.140625" customWidth="1"/>
    <col min="2" max="2" width="12.28515625" customWidth="1"/>
  </cols>
  <sheetData>
    <row r="1" spans="1:3" x14ac:dyDescent="0.25">
      <c r="A1" t="s">
        <v>0</v>
      </c>
      <c r="B1" t="s">
        <v>57</v>
      </c>
      <c r="C1" t="s">
        <v>58</v>
      </c>
    </row>
    <row r="2" spans="1:3" x14ac:dyDescent="0.25">
      <c r="A2" t="s">
        <v>32</v>
      </c>
      <c r="B2">
        <f ca="1">'Итоги за год'!N24</f>
        <v>75804</v>
      </c>
      <c r="C2">
        <f ca="1">B2*0.13</f>
        <v>9854.52</v>
      </c>
    </row>
    <row r="3" spans="1:3" x14ac:dyDescent="0.25">
      <c r="A3" t="s">
        <v>26</v>
      </c>
      <c r="B3">
        <f ca="1">'Итоги за год'!N18</f>
        <v>69201</v>
      </c>
      <c r="C3">
        <f t="shared" ref="C3:C31" ca="1" si="0">B3*0.13</f>
        <v>8996.130000000001</v>
      </c>
    </row>
    <row r="4" spans="1:3" x14ac:dyDescent="0.25">
      <c r="A4" t="s">
        <v>28</v>
      </c>
      <c r="B4">
        <f ca="1">'Итоги за год'!N20</f>
        <v>69504</v>
      </c>
      <c r="C4">
        <f t="shared" ca="1" si="0"/>
        <v>9035.52</v>
      </c>
    </row>
    <row r="5" spans="1:3" x14ac:dyDescent="0.25">
      <c r="A5" t="s">
        <v>10</v>
      </c>
      <c r="B5">
        <f ca="1">'Итоги за год'!N2</f>
        <v>80282</v>
      </c>
      <c r="C5">
        <f t="shared" ca="1" si="0"/>
        <v>10436.66</v>
      </c>
    </row>
    <row r="6" spans="1:3" x14ac:dyDescent="0.25">
      <c r="A6" t="s">
        <v>11</v>
      </c>
      <c r="B6">
        <f ca="1">'Итоги за год'!N3</f>
        <v>80282</v>
      </c>
      <c r="C6">
        <f t="shared" ca="1" si="0"/>
        <v>10436.66</v>
      </c>
    </row>
    <row r="7" spans="1:3" x14ac:dyDescent="0.25">
      <c r="A7" t="s">
        <v>12</v>
      </c>
      <c r="B7">
        <f ca="1">'Итоги за год'!N4</f>
        <v>73644</v>
      </c>
      <c r="C7">
        <f t="shared" ca="1" si="0"/>
        <v>9573.7200000000012</v>
      </c>
    </row>
    <row r="8" spans="1:3" x14ac:dyDescent="0.25">
      <c r="A8" t="s">
        <v>20</v>
      </c>
      <c r="B8">
        <f ca="1">'Итоги за год'!N12</f>
        <v>77865</v>
      </c>
      <c r="C8">
        <f t="shared" ca="1" si="0"/>
        <v>10122.450000000001</v>
      </c>
    </row>
    <row r="9" spans="1:3" x14ac:dyDescent="0.25">
      <c r="A9" t="s">
        <v>18</v>
      </c>
      <c r="B9">
        <f ca="1">'Итоги за год'!N10</f>
        <v>75589</v>
      </c>
      <c r="C9">
        <f t="shared" ca="1" si="0"/>
        <v>9826.57</v>
      </c>
    </row>
    <row r="10" spans="1:3" x14ac:dyDescent="0.25">
      <c r="A10" t="s">
        <v>24</v>
      </c>
      <c r="B10">
        <f ca="1">'Итоги за год'!N16</f>
        <v>67850</v>
      </c>
      <c r="C10">
        <f t="shared" ca="1" si="0"/>
        <v>8820.5</v>
      </c>
    </row>
    <row r="11" spans="1:3" x14ac:dyDescent="0.25">
      <c r="A11" t="s">
        <v>21</v>
      </c>
      <c r="B11">
        <f ca="1">'Итоги за год'!N13</f>
        <v>75029</v>
      </c>
      <c r="C11">
        <f t="shared" ca="1" si="0"/>
        <v>9753.77</v>
      </c>
    </row>
    <row r="12" spans="1:3" x14ac:dyDescent="0.25">
      <c r="A12" t="s">
        <v>23</v>
      </c>
      <c r="B12">
        <f ca="1">'Итоги за год'!N15</f>
        <v>73607</v>
      </c>
      <c r="C12">
        <f t="shared" ca="1" si="0"/>
        <v>9568.91</v>
      </c>
    </row>
    <row r="13" spans="1:3" x14ac:dyDescent="0.25">
      <c r="A13" t="s">
        <v>37</v>
      </c>
      <c r="B13">
        <f ca="1">'Итоги за год'!N29</f>
        <v>70240</v>
      </c>
      <c r="C13">
        <f t="shared" ca="1" si="0"/>
        <v>9131.2000000000007</v>
      </c>
    </row>
    <row r="14" spans="1:3" x14ac:dyDescent="0.25">
      <c r="A14" t="s">
        <v>27</v>
      </c>
      <c r="B14">
        <f ca="1">'Итоги за год'!N19</f>
        <v>69971</v>
      </c>
      <c r="C14">
        <f t="shared" ca="1" si="0"/>
        <v>9096.23</v>
      </c>
    </row>
    <row r="15" spans="1:3" x14ac:dyDescent="0.25">
      <c r="A15" t="s">
        <v>15</v>
      </c>
      <c r="B15">
        <f ca="1">'Итоги за год'!N7</f>
        <v>68675</v>
      </c>
      <c r="C15">
        <f t="shared" ca="1" si="0"/>
        <v>8927.75</v>
      </c>
    </row>
    <row r="16" spans="1:3" x14ac:dyDescent="0.25">
      <c r="A16" t="s">
        <v>34</v>
      </c>
      <c r="B16">
        <f ca="1">'Итоги за год'!N26</f>
        <v>72670</v>
      </c>
      <c r="C16">
        <f t="shared" ca="1" si="0"/>
        <v>9447.1</v>
      </c>
    </row>
    <row r="17" spans="1:3" x14ac:dyDescent="0.25">
      <c r="A17" t="s">
        <v>35</v>
      </c>
      <c r="B17">
        <f ca="1">'Итоги за год'!N27</f>
        <v>78090</v>
      </c>
      <c r="C17">
        <f t="shared" ca="1" si="0"/>
        <v>10151.700000000001</v>
      </c>
    </row>
    <row r="18" spans="1:3" x14ac:dyDescent="0.25">
      <c r="A18" t="s">
        <v>22</v>
      </c>
      <c r="B18">
        <f ca="1">'Итоги за год'!N14</f>
        <v>73326</v>
      </c>
      <c r="C18">
        <f t="shared" ca="1" si="0"/>
        <v>9532.380000000001</v>
      </c>
    </row>
    <row r="19" spans="1:3" x14ac:dyDescent="0.25">
      <c r="A19" t="s">
        <v>29</v>
      </c>
      <c r="B19">
        <f ca="1">'Итоги за год'!N21</f>
        <v>74693</v>
      </c>
      <c r="C19">
        <f t="shared" ca="1" si="0"/>
        <v>9710.09</v>
      </c>
    </row>
    <row r="20" spans="1:3" x14ac:dyDescent="0.25">
      <c r="A20" t="s">
        <v>25</v>
      </c>
      <c r="B20">
        <f ca="1">'Итоги за год'!N17</f>
        <v>76360</v>
      </c>
      <c r="C20">
        <f t="shared" ca="1" si="0"/>
        <v>9926.8000000000011</v>
      </c>
    </row>
    <row r="21" spans="1:3" x14ac:dyDescent="0.25">
      <c r="A21" t="s">
        <v>31</v>
      </c>
      <c r="B21">
        <f ca="1">'Итоги за год'!N23</f>
        <v>79273</v>
      </c>
      <c r="C21">
        <f t="shared" ca="1" si="0"/>
        <v>10305.49</v>
      </c>
    </row>
    <row r="22" spans="1:3" x14ac:dyDescent="0.25">
      <c r="A22" t="s">
        <v>38</v>
      </c>
      <c r="B22">
        <f ca="1">'Итоги за год'!N30</f>
        <v>75957</v>
      </c>
      <c r="C22">
        <f t="shared" ca="1" si="0"/>
        <v>9874.41</v>
      </c>
    </row>
    <row r="23" spans="1:3" x14ac:dyDescent="0.25">
      <c r="A23" t="s">
        <v>16</v>
      </c>
      <c r="B23">
        <f ca="1">'Итоги за год'!N8</f>
        <v>78104</v>
      </c>
      <c r="C23">
        <f t="shared" ca="1" si="0"/>
        <v>10153.52</v>
      </c>
    </row>
    <row r="24" spans="1:3" x14ac:dyDescent="0.25">
      <c r="A24" t="s">
        <v>13</v>
      </c>
      <c r="B24">
        <f ca="1">'Итоги за год'!N5</f>
        <v>83157</v>
      </c>
      <c r="C24">
        <f t="shared" ca="1" si="0"/>
        <v>10810.41</v>
      </c>
    </row>
    <row r="25" spans="1:3" x14ac:dyDescent="0.25">
      <c r="A25" t="s">
        <v>30</v>
      </c>
      <c r="B25">
        <f ca="1">'Итоги за год'!N22</f>
        <v>75551</v>
      </c>
      <c r="C25">
        <f t="shared" ca="1" si="0"/>
        <v>9821.630000000001</v>
      </c>
    </row>
    <row r="26" spans="1:3" x14ac:dyDescent="0.25">
      <c r="A26" t="s">
        <v>33</v>
      </c>
      <c r="B26">
        <f ca="1">'Итоги за год'!N25</f>
        <v>71734</v>
      </c>
      <c r="C26">
        <f t="shared" ca="1" si="0"/>
        <v>9325.42</v>
      </c>
    </row>
    <row r="27" spans="1:3" x14ac:dyDescent="0.25">
      <c r="A27" t="s">
        <v>17</v>
      </c>
      <c r="B27">
        <f ca="1">'Итоги за год'!N9</f>
        <v>81002</v>
      </c>
      <c r="C27">
        <f t="shared" ca="1" si="0"/>
        <v>10530.26</v>
      </c>
    </row>
    <row r="28" spans="1:3" x14ac:dyDescent="0.25">
      <c r="A28" t="s">
        <v>19</v>
      </c>
      <c r="B28">
        <f ca="1">'Итоги за год'!N11</f>
        <v>74106</v>
      </c>
      <c r="C28">
        <f t="shared" ca="1" si="0"/>
        <v>9633.7800000000007</v>
      </c>
    </row>
    <row r="29" spans="1:3" x14ac:dyDescent="0.25">
      <c r="A29" t="s">
        <v>36</v>
      </c>
      <c r="B29">
        <f ca="1">'Итоги за год'!N28</f>
        <v>70755</v>
      </c>
      <c r="C29">
        <f t="shared" ca="1" si="0"/>
        <v>9198.15</v>
      </c>
    </row>
    <row r="30" spans="1:3" x14ac:dyDescent="0.25">
      <c r="A30" t="s">
        <v>14</v>
      </c>
      <c r="B30">
        <f ca="1">'Итоги за год'!N6</f>
        <v>76793</v>
      </c>
      <c r="C30">
        <f t="shared" ca="1" si="0"/>
        <v>9983.09</v>
      </c>
    </row>
    <row r="31" spans="1:3" x14ac:dyDescent="0.25">
      <c r="A31" t="s">
        <v>39</v>
      </c>
      <c r="B31">
        <f ca="1">'Итоги за год'!N31</f>
        <v>75957</v>
      </c>
      <c r="C31">
        <f t="shared" ca="1" si="0"/>
        <v>9874.41</v>
      </c>
    </row>
    <row r="32" spans="1:3" x14ac:dyDescent="0.25">
      <c r="A32" t="s">
        <v>59</v>
      </c>
      <c r="B32">
        <f ca="1">SUM(B2:C31)</f>
        <v>2536930.2299999991</v>
      </c>
      <c r="C32">
        <f ca="1">SUM(C2:C31)</f>
        <v>291859.2300000001</v>
      </c>
    </row>
  </sheetData>
  <sortState xmlns:xlrd2="http://schemas.microsoft.com/office/spreadsheetml/2017/richdata2" ref="A2:B31">
    <sortCondition descending="1" ref="B2:B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Итоги за год</vt:lpstr>
      <vt:lpstr>Налоги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Курипко Артём Максимович</dc:creator>
  <cp:lastModifiedBy>Бек Дарья Александровна</cp:lastModifiedBy>
  <dcterms:created xsi:type="dcterms:W3CDTF">2026-10-26T05:06:17Z</dcterms:created>
  <dcterms:modified xsi:type="dcterms:W3CDTF">2026-10-26T07:43:25Z</dcterms:modified>
</cp:coreProperties>
</file>